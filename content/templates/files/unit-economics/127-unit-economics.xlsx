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Unit econom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&quot;$&quot;#,##0"/>
    <numFmt numFmtId="168" formatCode="0.0&quot;x&quot;"/>
  </numFmts>
  <fonts count="12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</fills>
  <borders count="3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0" borderId="2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166" fontId="5" fillId="2" borderId="1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167" fontId="8" fillId="4" borderId="1" applyAlignment="1" pivotButton="0" quotePrefix="0" xfId="0">
      <alignment vertical="top" wrapText="1"/>
    </xf>
    <xf numFmtId="167" fontId="5" fillId="2" borderId="1" applyAlignment="1" pivotButton="0" quotePrefix="0" xfId="0">
      <alignment vertical="top" wrapText="1"/>
    </xf>
    <xf numFmtId="3" fontId="5" fillId="2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168" fontId="8" fillId="4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127</author>
  </authors>
  <commentList>
    <comment ref="A14" authorId="0" shapeId="0">
      <text>
        <t>New business with no history? Use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Unit Economics</t>
        </is>
      </c>
    </row>
    <row r="4" ht="30" customHeight="1">
      <c r="B4" s="3" t="inlineStr">
        <is>
          <t>Work out what one customer is worth, your marketing cost per new customer, and how long it takes to earn that back, for now and two plans.</t>
        </is>
      </c>
    </row>
    <row r="6">
      <c r="B6" s="1" t="inlineStr">
        <is>
          <t>HOW TO USE IT</t>
        </is>
      </c>
    </row>
    <row r="7" ht="16" customHeight="1">
      <c r="B7" s="4" t="inlineStr">
        <is>
          <t>1.  Now: type your average order, what one order costs you to deliver, and your payment fees.</t>
        </is>
      </c>
    </row>
    <row r="8" ht="32" customHeight="1">
      <c r="B8" s="4" t="inlineStr">
        <is>
          <t>2.  Type how often a customer buys in a year and how many years they stay. New business? Be cautious: one year is fine.</t>
        </is>
      </c>
    </row>
    <row r="9" ht="32" customHeight="1">
      <c r="B9" s="4" t="inlineStr">
        <is>
          <t>3.  Type what you spend on marketing each month (ads, flyers, samples) and how many new customers came in that month.</t>
        </is>
      </c>
    </row>
    <row r="10" ht="32" customHeight="1">
      <c r="B10" s="4" t="inlineStr">
        <is>
          <t>4.  Read the lilac rows: what one customer is worth, your marketing cost per new customer, and the months to earn it back.</t>
        </is>
      </c>
    </row>
    <row r="11" ht="16" customHeight="1">
      <c r="B11" s="4" t="inlineStr">
        <is>
          <t>5.  Plan A and Plan B: change one or two numbers (a higher price, a repeat offer) and compare.</t>
        </is>
      </c>
    </row>
    <row r="12" ht="16" customHeight="1">
      <c r="B12" s="4" t="inlineStr">
        <is>
          <t>6.  Pick the plan with the best ratio you can actually deliver.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30" customHeight="1">
      <c r="B24" s="9" t="inlineStr">
        <is>
          <t>A ratio of 3 or more means each customer is worth at least three times their marketing cost. It is a common rule of thumb, not a promise.</t>
        </is>
      </c>
    </row>
    <row r="26" ht="15" customHeight="1">
      <c r="B26" s="9" t="inlineStr">
        <is>
          <t>Not financial advice.</t>
        </is>
      </c>
    </row>
    <row r="28">
      <c r="B28" s="10" t="inlineStr">
        <is>
          <t>Make today day one.  ·  127group.io</t>
        </is>
      </c>
    </row>
    <row r="29">
      <c r="B29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tabSelected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2" t="inlineStr">
        <is>
          <t>Unit Economics</t>
        </is>
      </c>
    </row>
    <row r="2">
      <c r="A2" s="13" t="inlineStr">
        <is>
          <t>Now is your business today. Plan A and Plan B are versions you could try.</t>
        </is>
      </c>
    </row>
    <row r="4">
      <c r="A4" s="1" t="inlineStr">
        <is>
          <t>ONE ORDER</t>
        </is>
      </c>
      <c r="B4" s="1" t="inlineStr">
        <is>
          <t>Now</t>
        </is>
      </c>
      <c r="C4" s="1" t="inlineStr">
        <is>
          <t>Plan A</t>
        </is>
      </c>
      <c r="D4" s="1" t="inlineStr">
        <is>
          <t>Plan B</t>
        </is>
      </c>
    </row>
    <row r="5">
      <c r="A5" s="14" t="inlineStr">
        <is>
          <t>Average order: what a customer pays ($)</t>
        </is>
      </c>
      <c r="B5" s="15" t="n"/>
      <c r="C5" s="15" t="n"/>
      <c r="D5" s="15" t="n"/>
    </row>
    <row r="6">
      <c r="A6" s="14" t="inlineStr">
        <is>
          <t>Cost to deliver one order: supplies, shipping, your helpers ($)</t>
        </is>
      </c>
      <c r="B6" s="15" t="n"/>
      <c r="C6" s="15" t="n"/>
      <c r="D6" s="15" t="n"/>
    </row>
    <row r="7">
      <c r="A7" s="14" t="inlineStr">
        <is>
          <t>Payment fee, percent (check your processor)</t>
        </is>
      </c>
      <c r="B7" s="16" t="n"/>
      <c r="C7" s="16" t="n"/>
      <c r="D7" s="16" t="n"/>
    </row>
    <row r="8">
      <c r="A8" s="14" t="inlineStr">
        <is>
          <t>Payment fee, fixed per order ($)</t>
        </is>
      </c>
      <c r="B8" s="15" t="n"/>
      <c r="C8" s="15" t="n"/>
      <c r="D8" s="15" t="n"/>
    </row>
    <row r="9">
      <c r="A9" s="14" t="inlineStr">
        <is>
          <t>Profit per order ($)</t>
        </is>
      </c>
      <c r="B9" s="17">
        <f>IF(B5="","",B5-N(B6)-B5*N(B7)-N(B8))</f>
        <v/>
      </c>
      <c r="C9" s="17">
        <f>IF(C5="","",C5-N(C6)-C5*N(C7)-N(C8))</f>
        <v/>
      </c>
      <c r="D9" s="17">
        <f>IF(D5="","",D5-N(D6)-D5*N(D7)-N(D8))</f>
        <v/>
      </c>
    </row>
    <row r="10">
      <c r="A10" s="14" t="inlineStr">
        <is>
          <t>Margin (profit / order)</t>
        </is>
      </c>
      <c r="B10" s="18">
        <f>IF(OR(B5="",N(B5)=0),"",B9/B5)</f>
        <v/>
      </c>
      <c r="C10" s="18">
        <f>IF(OR(C5="",N(C5)=0),"",C9/C5)</f>
        <v/>
      </c>
      <c r="D10" s="18">
        <f>IF(OR(D5="",N(D5)=0),"",D9/D5)</f>
        <v/>
      </c>
    </row>
    <row r="12">
      <c r="A12" s="1" t="inlineStr">
        <is>
          <t>ONE CUSTOMER</t>
        </is>
      </c>
      <c r="B12" s="1" t="inlineStr">
        <is>
          <t>Now</t>
        </is>
      </c>
      <c r="C12" s="1" t="inlineStr">
        <is>
          <t>Plan A</t>
        </is>
      </c>
      <c r="D12" s="1" t="inlineStr">
        <is>
          <t>Plan B</t>
        </is>
      </c>
    </row>
    <row r="13">
      <c r="A13" s="14" t="inlineStr">
        <is>
          <t>Orders per customer per year</t>
        </is>
      </c>
      <c r="B13" s="19" t="n"/>
      <c r="C13" s="19" t="n"/>
      <c r="D13" s="19" t="n"/>
    </row>
    <row r="14">
      <c r="A14" s="14" t="inlineStr">
        <is>
          <t>Years a customer stays</t>
        </is>
      </c>
      <c r="B14" s="19" t="n"/>
      <c r="C14" s="19" t="n"/>
      <c r="D14" s="19" t="n"/>
    </row>
    <row r="15">
      <c r="A15" s="20" t="inlineStr">
        <is>
          <t>What one customer is worth: lifetime profit ($)</t>
        </is>
      </c>
      <c r="B15" s="21">
        <f>IF(B9="","",B9*N(B13)*N(B14))</f>
        <v/>
      </c>
      <c r="C15" s="21">
        <f>IF(C9="","",C9*N(C13)*N(C14))</f>
        <v/>
      </c>
      <c r="D15" s="21">
        <f>IF(D9="","",D9*N(D13)*N(D14))</f>
        <v/>
      </c>
    </row>
    <row r="17">
      <c r="A17" s="1" t="inlineStr">
        <is>
          <t>MARKETING</t>
        </is>
      </c>
      <c r="B17" s="1" t="inlineStr">
        <is>
          <t>Now</t>
        </is>
      </c>
      <c r="C17" s="1" t="inlineStr">
        <is>
          <t>Plan A</t>
        </is>
      </c>
      <c r="D17" s="1" t="inlineStr">
        <is>
          <t>Plan B</t>
        </is>
      </c>
    </row>
    <row r="18">
      <c r="A18" s="14" t="inlineStr">
        <is>
          <t>Marketing spend per month ($)</t>
        </is>
      </c>
      <c r="B18" s="22" t="n"/>
      <c r="C18" s="22" t="n"/>
      <c r="D18" s="22" t="n"/>
    </row>
    <row r="19">
      <c r="A19" s="14" t="inlineStr">
        <is>
          <t>New customers that month</t>
        </is>
      </c>
      <c r="B19" s="23" t="n"/>
      <c r="C19" s="23" t="n"/>
      <c r="D19" s="23" t="n"/>
    </row>
    <row r="20">
      <c r="A20" s="20" t="inlineStr">
        <is>
          <t>Marketing cost per new customer ($)</t>
        </is>
      </c>
      <c r="B20" s="24">
        <f>IF(OR(B18="",N(B19)=0),"",B18/B19)</f>
        <v/>
      </c>
      <c r="C20" s="24">
        <f>IF(OR(C18="",N(C19)=0),"",C18/C19)</f>
        <v/>
      </c>
      <c r="D20" s="24">
        <f>IF(OR(D18="",N(D19)=0),"",D18/D19)</f>
        <v/>
      </c>
    </row>
    <row r="22">
      <c r="A22" s="1" t="inlineStr">
        <is>
          <t>THE ANSWER</t>
        </is>
      </c>
      <c r="B22" s="1" t="inlineStr">
        <is>
          <t>Now</t>
        </is>
      </c>
      <c r="C22" s="1" t="inlineStr">
        <is>
          <t>Plan A</t>
        </is>
      </c>
      <c r="D22" s="1" t="inlineStr">
        <is>
          <t>Plan B</t>
        </is>
      </c>
    </row>
    <row r="23">
      <c r="A23" s="20" t="inlineStr">
        <is>
          <t>Worth / marketing cost (the ratio)</t>
        </is>
      </c>
      <c r="B23" s="25">
        <f>IF(OR(B15="",B20="",N(B20)=0),"",B15/B20)</f>
        <v/>
      </c>
      <c r="C23" s="25">
        <f>IF(OR(C15="",C20="",N(C20)=0),"",C15/C20)</f>
        <v/>
      </c>
      <c r="D23" s="25">
        <f>IF(OR(D15="",D20="",N(D20)=0),"",D15/D20)</f>
        <v/>
      </c>
    </row>
    <row r="24">
      <c r="A24" s="14" t="inlineStr">
        <is>
          <t>Months to earn back the marketing cost</t>
        </is>
      </c>
      <c r="B24" s="26">
        <f>IF(OR(B20="",N(B9)&lt;=0,N(B13)=0),"",B20/(B9*N(B13)/12))</f>
        <v/>
      </c>
      <c r="C24" s="26">
        <f>IF(OR(C20="",N(C9)&lt;=0,N(C13)=0),"",C20/(C9*N(C13)/12))</f>
        <v/>
      </c>
      <c r="D24" s="26">
        <f>IF(OR(D20="",N(D9)&lt;=0,N(D13)=0),"",D20/(D9*N(D13)/12))</f>
        <v/>
      </c>
    </row>
    <row r="25" ht="58" customHeight="1">
      <c r="A25" s="20" t="inlineStr">
        <is>
          <t>Read</t>
        </is>
      </c>
      <c r="B25" s="27">
        <f>IF(B5="","",IF(N(B9)&lt;=0,"Each order loses money. Fix price or cost first.",IF(B23="","Add spend and new customers to see the ratio.",IF(B23&gt;=3,"Healthy. A customer is worth 3x or more what one costs.",IF(B23&gt;=1,"Thin. You earn it back, slowly. Raise repeat orders or cut marketing cost per customer.","Losing. Each new customer costs more in marketing than they are worth.")))))</f>
        <v/>
      </c>
      <c r="C25" s="27">
        <f>IF(C5="","",IF(N(C9)&lt;=0,"Each order loses money. Fix price or cost first.",IF(C23="","Add spend and new customers to see the ratio.",IF(C23&gt;=3,"Healthy. A customer is worth 3x or more what one costs.",IF(C23&gt;=1,"Thin. You earn it back, slowly. Raise repeat orders or cut marketing cost per customer.","Losing. Each new customer costs more in marketing than they are worth.")))))</f>
        <v/>
      </c>
      <c r="D25" s="27">
        <f>IF(D5="","",IF(N(D9)&lt;=0,"Each order loses money. Fix price or cost first.",IF(D23="","Add spend and new customers to see the ratio.",IF(D23&gt;=3,"Healthy. A customer is worth 3x or more what one costs.",IF(D23&gt;=1,"Thin. You earn it back, slowly. Raise repeat orders or cut marketing cost per customer.","Losing. Each new customer costs more in marketing than they are worth.")))))</f>
        <v/>
      </c>
    </row>
  </sheetData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Unit Economics</dc:title>
  <dcterms:created xmlns:dcterms="http://purl.org/dc/terms/" xmlns:xsi="http://www.w3.org/2001/XMLSchema-instance" xsi:type="dcterms:W3CDTF">2026-10-20T04:13:37Z</dcterms:created>
  <dcterms:modified xmlns:dcterms="http://purl.org/dc/terms/" xmlns:xsi="http://www.w3.org/2001/XMLSchema-instance" xsi:type="dcterms:W3CDTF">2026-10-20T04:13:37Z</dcterms:modified>
</cp:coreProperties>
</file>