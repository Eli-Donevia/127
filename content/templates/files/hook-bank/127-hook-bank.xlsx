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Hook bank" sheetId="2" state="visible" r:id="rId2"/>
    <sheet xmlns:r="http://schemas.openxmlformats.org/officeDocument/2006/relationships" name="My hooks" sheetId="3" state="visible" r:id="rId3"/>
    <sheet xmlns:r="http://schemas.openxmlformats.org/officeDocument/2006/relationships" name="Captions" sheetId="4" state="visible" r:id="rId4"/>
    <sheet xmlns:r="http://schemas.openxmlformats.org/officeDocument/2006/relationships" name="CTAs" sheetId="5" state="visible" r:id="rId5"/>
    <sheet xmlns:r="http://schemas.openxmlformats.org/officeDocument/2006/relationships" name="Results" sheetId="6" state="visible" r:id="rId6"/>
    <sheet xmlns:r="http://schemas.openxmlformats.org/officeDocument/2006/relationships" name="Winners" sheetId="7" state="visible" r:id="rId7"/>
  </sheets>
  <definedNames>
    <definedName name="_xlnm._FilterDatabase" localSheetId="1" hidden="1">'Hook bank'!$A$3:$D$45</definedName>
    <definedName name="_xlnm.Print_Titles" localSheetId="1">'Hook bank'!$3:$3</definedName>
    <definedName name="_xlnm._FilterDatabase" localSheetId="2" hidden="1">'My hooks'!$A$3:$J$63</definedName>
    <definedName name="_xlnm.Print_Titles" localSheetId="2">'My hooks'!$3:$3</definedName>
    <definedName name="_xlnm._FilterDatabase" localSheetId="3" hidden="1">'Captions'!$A$3:$C$13</definedName>
    <definedName name="_xlnm.Print_Titles" localSheetId="3">'Captions'!$3:$3</definedName>
    <definedName name="_xlnm._FilterDatabase" localSheetId="4" hidden="1">'CTAs'!$A$3:$B$13</definedName>
    <definedName name="_xlnm.Print_Titles" localSheetId="4">'CTAs'!$3:$3</definedName>
    <definedName name="_xlnm._FilterDatabase" localSheetId="6" hidden="1">'Winners'!$A$3:$G$23</definedName>
    <definedName name="_xlnm.Print_Titles" localSheetId="6">'Winners'!$3:$3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d, mmm d"/>
    <numFmt numFmtId="165" formatCode="0.0&quot;x&quot;"/>
  </numFmts>
  <fonts count="14">
    <font>
      <name val="Calibri"/>
      <family val="2"/>
      <color theme="1"/>
      <sz val="11"/>
      <scheme val="minor"/>
    </font>
    <font>
      <name val="Arial"/>
      <b val="1"/>
      <color rgb="007B7B86"/>
      <sz val="9"/>
    </font>
    <font>
      <name val="Arial"/>
      <b val="1"/>
      <color rgb="00060607"/>
      <sz val="22"/>
    </font>
    <font>
      <name val="Arial"/>
      <color rgb="005A5A66"/>
      <sz val="11"/>
    </font>
    <font>
      <name val="Arial"/>
      <color rgb="001B1B20"/>
      <sz val="11"/>
    </font>
    <font>
      <name val="Arial"/>
      <color rgb="001B1B20"/>
      <sz val="10"/>
    </font>
    <font>
      <name val="Arial"/>
      <color rgb="005A5A66"/>
      <sz val="10"/>
    </font>
    <font>
      <name val="Arial"/>
      <i val="1"/>
      <color rgb="005A5A66"/>
      <sz val="10"/>
    </font>
    <font>
      <name val="Arial"/>
      <b val="1"/>
      <color rgb="001B1B20"/>
      <sz val="10"/>
    </font>
    <font>
      <name val="Arial"/>
      <color rgb="007B7B86"/>
      <sz val="8"/>
    </font>
    <font>
      <name val="Arial"/>
      <b val="1"/>
      <color rgb="00060607"/>
      <sz val="14"/>
    </font>
    <font>
      <name val="Arial"/>
      <color rgb="007B7B86"/>
      <sz val="9"/>
    </font>
    <font>
      <name val="Arial"/>
      <b val="1"/>
      <color rgb="00FFFFFF"/>
      <sz val="9"/>
    </font>
    <font>
      <name val="Arial"/>
      <color rgb="003A3A44"/>
      <sz val="10"/>
    </font>
  </fonts>
  <fills count="7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2F2F5"/>
        <bgColor rgb="00F2F2F5"/>
      </patternFill>
    </fill>
    <fill>
      <patternFill patternType="solid">
        <fgColor rgb="00ECEEFB"/>
        <bgColor rgb="00ECEEFB"/>
      </patternFill>
    </fill>
    <fill>
      <patternFill patternType="solid">
        <fgColor rgb="00060607"/>
        <bgColor rgb="00060607"/>
      </patternFill>
    </fill>
    <fill>
      <patternFill patternType="solid">
        <fgColor rgb="002B2B33"/>
        <bgColor rgb="002B2B33"/>
      </patternFill>
    </fill>
  </fills>
  <borders count="4">
    <border>
      <left/>
      <right/>
      <top/>
      <bottom/>
      <diagonal/>
    </border>
    <border>
      <left style="thin">
        <color rgb="00D9D9DE"/>
      </left>
      <right style="thin">
        <color rgb="00D9D9DE"/>
      </right>
      <top style="thin">
        <color rgb="00D9D9DE"/>
      </top>
      <bottom style="thin">
        <color rgb="00D9D9DE"/>
      </bottom>
    </border>
    <border>
      <left style="thin">
        <color rgb="003A3A44"/>
      </left>
      <right style="thin">
        <color rgb="003A3A44"/>
      </right>
    </border>
    <border>
      <bottom style="thin">
        <color rgb="00D9D9DE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pivotButton="0" quotePrefix="0" xfId="0"/>
    <xf numFmtId="0" fontId="5" fillId="3" borderId="1" pivotButton="0" quotePrefix="0" xfId="0"/>
    <xf numFmtId="0" fontId="5" fillId="4" borderId="1" pivotButton="0" quotePrefix="0" xfId="0"/>
    <xf numFmtId="0" fontId="6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5" borderId="2" applyAlignment="1" pivotButton="0" quotePrefix="0" xfId="0">
      <alignment horizontal="left" vertical="center" wrapText="1"/>
    </xf>
    <xf numFmtId="0" fontId="5" fillId="2" borderId="1" applyAlignment="1" pivotButton="0" quotePrefix="0" xfId="0">
      <alignment vertical="top"/>
    </xf>
    <xf numFmtId="0" fontId="5" fillId="2" borderId="1" applyAlignment="1" pivotButton="0" quotePrefix="0" xfId="0">
      <alignment vertical="top" wrapText="1"/>
    </xf>
    <xf numFmtId="0" fontId="12" fillId="6" borderId="2" applyAlignment="1" pivotButton="0" quotePrefix="0" xfId="0">
      <alignment horizontal="left" vertical="center" wrapText="1"/>
    </xf>
    <xf numFmtId="3" fontId="5" fillId="2" borderId="1" applyAlignment="1" pivotButton="0" quotePrefix="0" xfId="0">
      <alignment vertical="top"/>
    </xf>
    <xf numFmtId="0" fontId="13" fillId="3" borderId="1" applyAlignment="1" pivotButton="0" quotePrefix="0" xfId="0">
      <alignment vertical="top"/>
    </xf>
    <xf numFmtId="164" fontId="5" fillId="2" borderId="1" applyAlignment="1" pivotButton="0" quotePrefix="0" xfId="0">
      <alignment vertical="top"/>
    </xf>
    <xf numFmtId="165" fontId="13" fillId="3" borderId="1" applyAlignment="1" pivotButton="0" quotePrefix="0" xfId="0">
      <alignment vertical="top"/>
    </xf>
    <xf numFmtId="0" fontId="5" fillId="0" borderId="3" applyAlignment="1" pivotButton="0" quotePrefix="0" xfId="0">
      <alignment vertical="top" wrapText="1"/>
    </xf>
    <xf numFmtId="3" fontId="5" fillId="3" borderId="1" applyAlignment="1" pivotButton="0" quotePrefix="0" xfId="0">
      <alignment vertical="top" wrapText="1"/>
    </xf>
    <xf numFmtId="0" fontId="8" fillId="0" borderId="3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ont>
        <name val="Arial"/>
        <b val="1"/>
      </font>
      <fill>
        <patternFill patternType="solid">
          <fgColor rgb="00DDF3E7"/>
          <bgColor rgb="00DDF3E7"/>
        </patternFill>
      </fill>
    </dxf>
    <dxf>
      <fill>
        <patternFill patternType="solid">
          <fgColor rgb="00FBE3DE"/>
          <bgColor rgb="00FBE3D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7"/>
  <sheetViews>
    <sheetView showGridLines="0" tabSelected="1" workbookViewId="0">
      <selection activeCell="A1" sqref="A1"/>
    </sheetView>
  </sheetViews>
  <sheetFormatPr baseColWidth="8" defaultRowHeight="15"/>
  <cols>
    <col width="3" customWidth="1" min="1" max="1"/>
    <col width="96" customWidth="1" min="2" max="2"/>
  </cols>
  <sheetData>
    <row r="2">
      <c r="B2" s="1" t="inlineStr">
        <is>
          <t>127  ·  GROW TRACK  ·  BUILDER</t>
        </is>
      </c>
    </row>
    <row r="3" ht="34" customHeight="1">
      <c r="B3" s="2" t="inlineStr">
        <is>
          <t>Hook Bank</t>
        </is>
      </c>
    </row>
    <row r="4" ht="30" customHeight="1">
      <c r="B4" s="3" t="inlineStr">
        <is>
          <t>42 fill-in-the-blank hooks, 10 caption templates and 10 calls to action, plus a log that shows which hook type works for your audience.</t>
        </is>
      </c>
    </row>
    <row r="6">
      <c r="B6" s="1" t="inlineStr">
        <is>
          <t>HOW TO USE IT</t>
        </is>
      </c>
    </row>
    <row r="7" ht="32" customHeight="1">
      <c r="B7" s="4" t="inlineStr">
        <is>
          <t>1.  Browse the Hook bank tab. Filter by type: story, mistake, contrarian, how-to, result, behind the scenes.</t>
        </is>
      </c>
    </row>
    <row r="8" ht="32" customHeight="1">
      <c r="B8" s="4" t="inlineStr">
        <is>
          <t>2.  In My hooks, write ten hooks for your niche. Put the template number in the # column and the type fills in.</t>
        </is>
      </c>
    </row>
    <row r="9" ht="16" customHeight="1">
      <c r="B9" s="4" t="inlineStr">
        <is>
          <t>3.  Say each hook out loud. If it sounds like an ad, rewrite it until it sounds like you.</t>
        </is>
      </c>
    </row>
    <row r="10" ht="32" customHeight="1">
      <c r="B10" s="4" t="inlineStr">
        <is>
          <t>4.  After posting, log views, saves and DMs at 48 hours. The sheet compares each one to your average.</t>
        </is>
      </c>
    </row>
    <row r="11" ht="32" customHeight="1">
      <c r="B11" s="4" t="inlineStr">
        <is>
          <t>5.  Open Results to see which hook type wins. Use at least two types each week so you have a comparison.</t>
        </is>
      </c>
    </row>
    <row r="12" ht="16" customHeight="1">
      <c r="B12" s="4" t="inlineStr">
        <is>
          <t>6.  Review your winner in Winners and write three remixes: same winning element, new topic.</t>
        </is>
      </c>
    </row>
    <row r="14">
      <c r="B14" s="1" t="inlineStr">
        <is>
          <t>CELL COLORS</t>
        </is>
      </c>
    </row>
    <row r="15">
      <c r="B15" s="5" t="inlineStr">
        <is>
          <t>White cells: you type here.</t>
        </is>
      </c>
    </row>
    <row r="16">
      <c r="B16" s="6" t="inlineStr">
        <is>
          <t>Grey cells: calculated for you. Leave them alone.</t>
        </is>
      </c>
    </row>
    <row r="17">
      <c r="B17" s="7" t="inlineStr">
        <is>
          <t>Lilac cells: the answer you came for.</t>
        </is>
      </c>
    </row>
    <row r="19">
      <c r="B19" s="1" t="inlineStr">
        <is>
          <t>OPEN IT ANYWHERE</t>
        </is>
      </c>
    </row>
    <row r="20" ht="30" customHeight="1">
      <c r="B20" s="8" t="inlineStr">
        <is>
          <t>Google Sheets: go to sheets.new, then File &gt; Import &gt; Upload this file &gt; Replace spreadsheet. Formulas and dropdowns come with it.</t>
        </is>
      </c>
    </row>
    <row r="21" ht="15" customHeight="1">
      <c r="B21" s="8" t="inlineStr">
        <is>
          <t>Excel: double-click the file. Numbers on a Mac: open it with Numbers.</t>
        </is>
      </c>
    </row>
    <row r="22" ht="15" customHeight="1">
      <c r="B22" s="8" t="inlineStr">
        <is>
          <t>Phone: upload it to Google Drive, then open it in the Google Sheets app.</t>
        </is>
      </c>
    </row>
    <row r="24" ht="30" customHeight="1">
      <c r="B24" s="9" t="inlineStr">
        <is>
          <t>Only claim what's true. A fake result might get views, but it costs you trust, and trust beats everything.</t>
        </is>
      </c>
    </row>
    <row r="26">
      <c r="B26" s="10" t="inlineStr">
        <is>
          <t>Make today day one.  ·  127group.io</t>
        </is>
      </c>
    </row>
    <row r="27">
      <c r="B27" s="11" t="inlineStr">
        <is>
          <t>Template drafted from Eli Christiansen's frameworks. © 127 Group LLC. For your own business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45"/>
  <sheetViews>
    <sheetView showGridLines="0" tabSelected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70" customWidth="1" min="3" max="3"/>
    <col width="14" customWidth="1" min="4" max="4"/>
  </cols>
  <sheetData>
    <row r="1" ht="26" customHeight="1">
      <c r="A1" s="12" t="inlineStr">
        <is>
          <t>The hook bank</t>
        </is>
      </c>
    </row>
    <row r="2" ht="16" customHeight="1">
      <c r="A2" s="13" t="inlineStr">
        <is>
          <t>Fill the blanks with your customer's exact words. Filter the Type column to browse.</t>
        </is>
      </c>
    </row>
    <row r="3" ht="40" customHeight="1">
      <c r="A3" s="14" t="inlineStr">
        <is>
          <t>#</t>
        </is>
      </c>
      <c r="B3" s="14" t="inlineStr">
        <is>
          <t>Type</t>
        </is>
      </c>
      <c r="C3" s="14" t="inlineStr">
        <is>
          <t>Hook template (fill the [brackets])</t>
        </is>
      </c>
      <c r="D3" s="14" t="inlineStr">
        <is>
          <t>Works for pillar</t>
        </is>
      </c>
    </row>
    <row r="4">
      <c r="A4" s="15" t="n">
        <v>1</v>
      </c>
      <c r="B4" s="15" t="inlineStr">
        <is>
          <t>Story</t>
        </is>
      </c>
      <c r="C4" s="16" t="inlineStr">
        <is>
          <t>I started [business] with [small amount or resource]. Here's what happened.</t>
        </is>
      </c>
      <c r="D4" s="15" t="inlineStr">
        <is>
          <t>You</t>
        </is>
      </c>
    </row>
    <row r="5">
      <c r="A5" s="15" t="n">
        <v>2</v>
      </c>
      <c r="B5" s="15" t="inlineStr">
        <is>
          <t>Story</t>
        </is>
      </c>
      <c r="C5" s="16" t="inlineStr">
        <is>
          <t>A year ago I was [old situation]. Today I'm [new situation].</t>
        </is>
      </c>
      <c r="D5" s="15" t="inlineStr">
        <is>
          <t>You</t>
        </is>
      </c>
    </row>
    <row r="6">
      <c r="A6" s="15" t="n">
        <v>3</v>
      </c>
      <c r="B6" s="15" t="inlineStr">
        <is>
          <t>Story</t>
        </is>
      </c>
      <c r="C6" s="16" t="inlineStr">
        <is>
          <t>The day I almost quit [thing] was the day [turning point].</t>
        </is>
      </c>
      <c r="D6" s="15" t="inlineStr">
        <is>
          <t>You</t>
        </is>
      </c>
    </row>
    <row r="7">
      <c r="A7" s="15" t="n">
        <v>4</v>
      </c>
      <c r="B7" s="15" t="inlineStr">
        <is>
          <t>Story</t>
        </is>
      </c>
      <c r="C7" s="16" t="inlineStr">
        <is>
          <t>My first customer for [offer] came from [unexpected place].</t>
        </is>
      </c>
      <c r="D7" s="15" t="inlineStr">
        <is>
          <t>You</t>
        </is>
      </c>
    </row>
    <row r="8">
      <c r="A8" s="15" t="n">
        <v>5</v>
      </c>
      <c r="B8" s="15" t="inlineStr">
        <is>
          <t>Story</t>
        </is>
      </c>
      <c r="C8" s="16" t="inlineStr">
        <is>
          <t>Nobody believed [thing] would work. Here's what I did anyway.</t>
        </is>
      </c>
      <c r="D8" s="15" t="inlineStr">
        <is>
          <t>You</t>
        </is>
      </c>
    </row>
    <row r="9">
      <c r="A9" s="15" t="n">
        <v>6</v>
      </c>
      <c r="B9" s="15" t="inlineStr">
        <is>
          <t>Story</t>
        </is>
      </c>
      <c r="C9" s="16" t="inlineStr">
        <is>
          <t>This is what [number] weeks of building [business] looks like.</t>
        </is>
      </c>
      <c r="D9" s="15" t="inlineStr">
        <is>
          <t>You</t>
        </is>
      </c>
    </row>
    <row r="10">
      <c r="A10" s="15" t="n">
        <v>7</v>
      </c>
      <c r="B10" s="15" t="inlineStr">
        <is>
          <t>Story</t>
        </is>
      </c>
      <c r="C10" s="16" t="inlineStr">
        <is>
          <t>I didn't think I was qualified to [goal]. Here's what changed.</t>
        </is>
      </c>
      <c r="D10" s="15" t="inlineStr">
        <is>
          <t>You</t>
        </is>
      </c>
    </row>
    <row r="11">
      <c r="A11" s="15" t="n">
        <v>8</v>
      </c>
      <c r="B11" s="15" t="inlineStr">
        <is>
          <t>Mistake</t>
        </is>
      </c>
      <c r="C11" s="16" t="inlineStr">
        <is>
          <t>I wasted [time or money] on [thing] so you don't have to.</t>
        </is>
      </c>
      <c r="D11" s="15" t="inlineStr">
        <is>
          <t>Teach or You</t>
        </is>
      </c>
    </row>
    <row r="12">
      <c r="A12" s="15" t="n">
        <v>9</v>
      </c>
      <c r="B12" s="15" t="inlineStr">
        <is>
          <t>Mistake</t>
        </is>
      </c>
      <c r="C12" s="16" t="inlineStr">
        <is>
          <t>The biggest mistake I made starting [business]: [mistake].</t>
        </is>
      </c>
      <c r="D12" s="15" t="inlineStr">
        <is>
          <t>Teach or You</t>
        </is>
      </c>
    </row>
    <row r="13">
      <c r="A13" s="15" t="n">
        <v>10</v>
      </c>
      <c r="B13" s="15" t="inlineStr">
        <is>
          <t>Mistake</t>
        </is>
      </c>
      <c r="C13" s="16" t="inlineStr">
        <is>
          <t>Stop [common action] if you want [result].</t>
        </is>
      </c>
      <c r="D13" s="15" t="inlineStr">
        <is>
          <t>Teach or You</t>
        </is>
      </c>
    </row>
    <row r="14">
      <c r="A14" s="15" t="n">
        <v>11</v>
      </c>
      <c r="B14" s="15" t="inlineStr">
        <is>
          <t>Mistake</t>
        </is>
      </c>
      <c r="C14" s="16" t="inlineStr">
        <is>
          <t>[Number] mistakes I made in my first [timeframe] of [business].</t>
        </is>
      </c>
      <c r="D14" s="15" t="inlineStr">
        <is>
          <t>Teach or You</t>
        </is>
      </c>
    </row>
    <row r="15">
      <c r="A15" s="15" t="n">
        <v>12</v>
      </c>
      <c r="B15" s="15" t="inlineStr">
        <is>
          <t>Mistake</t>
        </is>
      </c>
      <c r="C15" s="16" t="inlineStr">
        <is>
          <t>If you're doing [common habit], you're losing [result].</t>
        </is>
      </c>
      <c r="D15" s="15" t="inlineStr">
        <is>
          <t>Teach or You</t>
        </is>
      </c>
    </row>
    <row r="16">
      <c r="A16" s="15" t="n">
        <v>13</v>
      </c>
      <c r="B16" s="15" t="inlineStr">
        <is>
          <t>Mistake</t>
        </is>
      </c>
      <c r="C16" s="16" t="inlineStr">
        <is>
          <t>I tried [popular advice]. It didn't work. Here's why.</t>
        </is>
      </c>
      <c r="D16" s="15" t="inlineStr">
        <is>
          <t>Teach or You</t>
        </is>
      </c>
    </row>
    <row r="17">
      <c r="A17" s="15" t="n">
        <v>14</v>
      </c>
      <c r="B17" s="15" t="inlineStr">
        <is>
          <t>Mistake</t>
        </is>
      </c>
      <c r="C17" s="16" t="inlineStr">
        <is>
          <t>Don't [action] until you've done this first.</t>
        </is>
      </c>
      <c r="D17" s="15" t="inlineStr">
        <is>
          <t>Teach or You</t>
        </is>
      </c>
    </row>
    <row r="18">
      <c r="A18" s="15" t="n">
        <v>15</v>
      </c>
      <c r="B18" s="15" t="inlineStr">
        <is>
          <t>Contrarian</t>
        </is>
      </c>
      <c r="C18" s="16" t="inlineStr">
        <is>
          <t>Unpopular opinion: you don't need [common belief] to [result].</t>
        </is>
      </c>
      <c r="D18" s="15" t="inlineStr">
        <is>
          <t>Teach</t>
        </is>
      </c>
    </row>
    <row r="19">
      <c r="A19" s="15" t="n">
        <v>16</v>
      </c>
      <c r="B19" s="15" t="inlineStr">
        <is>
          <t>Contrarian</t>
        </is>
      </c>
      <c r="C19" s="16" t="inlineStr">
        <is>
          <t>Everyone says [advice]. I think that's wrong.</t>
        </is>
      </c>
      <c r="D19" s="15" t="inlineStr">
        <is>
          <t>Teach</t>
        </is>
      </c>
    </row>
    <row r="20">
      <c r="A20" s="15" t="n">
        <v>17</v>
      </c>
      <c r="B20" s="15" t="inlineStr">
        <is>
          <t>Contrarian</t>
        </is>
      </c>
      <c r="C20" s="16" t="inlineStr">
        <is>
          <t>[Popular thing] is overrated. Do this instead.</t>
        </is>
      </c>
      <c r="D20" s="15" t="inlineStr">
        <is>
          <t>Teach</t>
        </is>
      </c>
    </row>
    <row r="21">
      <c r="A21" s="15" t="n">
        <v>18</v>
      </c>
      <c r="B21" s="15" t="inlineStr">
        <is>
          <t>Contrarian</t>
        </is>
      </c>
      <c r="C21" s="16" t="inlineStr">
        <is>
          <t>The worst advice I got about [topic]: [advice].</t>
        </is>
      </c>
      <c r="D21" s="15" t="inlineStr">
        <is>
          <t>Teach</t>
        </is>
      </c>
    </row>
    <row r="22">
      <c r="A22" s="15" t="n">
        <v>19</v>
      </c>
      <c r="B22" s="15" t="inlineStr">
        <is>
          <t>Contrarian</t>
        </is>
      </c>
      <c r="C22" s="16" t="inlineStr">
        <is>
          <t>You don't have a [problem] problem. You have a [real problem] problem.</t>
        </is>
      </c>
      <c r="D22" s="15" t="inlineStr">
        <is>
          <t>Teach</t>
        </is>
      </c>
    </row>
    <row r="23">
      <c r="A23" s="15" t="n">
        <v>20</v>
      </c>
      <c r="B23" s="15" t="inlineStr">
        <is>
          <t>Contrarian</t>
        </is>
      </c>
      <c r="C23" s="16" t="inlineStr">
        <is>
          <t>Nobody talks about this part of [topic].</t>
        </is>
      </c>
      <c r="D23" s="15" t="inlineStr">
        <is>
          <t>Teach</t>
        </is>
      </c>
    </row>
    <row r="24">
      <c r="A24" s="15" t="n">
        <v>21</v>
      </c>
      <c r="B24" s="15" t="inlineStr">
        <is>
          <t>Contrarian</t>
        </is>
      </c>
      <c r="C24" s="16" t="inlineStr">
        <is>
          <t>[Thing people fear] isn't the hard part. [Real hard part] is.</t>
        </is>
      </c>
      <c r="D24" s="15" t="inlineStr">
        <is>
          <t>Teach</t>
        </is>
      </c>
    </row>
    <row r="25">
      <c r="A25" s="15" t="n">
        <v>22</v>
      </c>
      <c r="B25" s="15" t="inlineStr">
        <is>
          <t>How-to</t>
        </is>
      </c>
      <c r="C25" s="16" t="inlineStr">
        <is>
          <t>How to [result] in [timeframe] without [pain].</t>
        </is>
      </c>
      <c r="D25" s="15" t="inlineStr">
        <is>
          <t>Teach</t>
        </is>
      </c>
    </row>
    <row r="26">
      <c r="A26" s="15" t="n">
        <v>23</v>
      </c>
      <c r="B26" s="15" t="inlineStr">
        <is>
          <t>How-to</t>
        </is>
      </c>
      <c r="C26" s="16" t="inlineStr">
        <is>
          <t>Here's exactly how I'd [result] if I started today.</t>
        </is>
      </c>
      <c r="D26" s="15" t="inlineStr">
        <is>
          <t>Teach</t>
        </is>
      </c>
    </row>
    <row r="27">
      <c r="A27" s="15" t="n">
        <v>24</v>
      </c>
      <c r="B27" s="15" t="inlineStr">
        <is>
          <t>How-to</t>
        </is>
      </c>
      <c r="C27" s="16" t="inlineStr">
        <is>
          <t>[Number] steps to [result]. Save this.</t>
        </is>
      </c>
      <c r="D27" s="15" t="inlineStr">
        <is>
          <t>Teach</t>
        </is>
      </c>
    </row>
    <row r="28">
      <c r="A28" s="15" t="n">
        <v>25</v>
      </c>
      <c r="B28" s="15" t="inlineStr">
        <is>
          <t>How-to</t>
        </is>
      </c>
      <c r="C28" s="16" t="inlineStr">
        <is>
          <t>The [number]-minute fix for [problem].</t>
        </is>
      </c>
      <c r="D28" s="15" t="inlineStr">
        <is>
          <t>Teach</t>
        </is>
      </c>
    </row>
    <row r="29">
      <c r="A29" s="15" t="n">
        <v>26</v>
      </c>
      <c r="B29" s="15" t="inlineStr">
        <is>
          <t>How-to</t>
        </is>
      </c>
      <c r="C29" s="16" t="inlineStr">
        <is>
          <t>How I [result] using only [tool or phone].</t>
        </is>
      </c>
      <c r="D29" s="15" t="inlineStr">
        <is>
          <t>Teach</t>
        </is>
      </c>
    </row>
    <row r="30">
      <c r="A30" s="15" t="n">
        <v>27</v>
      </c>
      <c r="B30" s="15" t="inlineStr">
        <is>
          <t>How-to</t>
        </is>
      </c>
      <c r="C30" s="16" t="inlineStr">
        <is>
          <t>Do this before you [common action].</t>
        </is>
      </c>
      <c r="D30" s="15" t="inlineStr">
        <is>
          <t>Teach</t>
        </is>
      </c>
    </row>
    <row r="31">
      <c r="A31" s="15" t="n">
        <v>28</v>
      </c>
      <c r="B31" s="15" t="inlineStr">
        <is>
          <t>How-to</t>
        </is>
      </c>
      <c r="C31" s="16" t="inlineStr">
        <is>
          <t>The easiest way to [result] for [specific person].</t>
        </is>
      </c>
      <c r="D31" s="15" t="inlineStr">
        <is>
          <t>Teach</t>
        </is>
      </c>
    </row>
    <row r="32">
      <c r="A32" s="15" t="n">
        <v>29</v>
      </c>
      <c r="B32" s="15" t="inlineStr">
        <is>
          <t>Result</t>
        </is>
      </c>
      <c r="C32" s="16" t="inlineStr">
        <is>
          <t>This [before] became [after] in [timeframe].</t>
        </is>
      </c>
      <c r="D32" s="15" t="inlineStr">
        <is>
          <t>Proof</t>
        </is>
      </c>
    </row>
    <row r="33">
      <c r="A33" s="15" t="n">
        <v>30</v>
      </c>
      <c r="B33" s="15" t="inlineStr">
        <is>
          <t>Result</t>
        </is>
      </c>
      <c r="C33" s="16" t="inlineStr">
        <is>
          <t>How [customer type] went from [before] to [after].</t>
        </is>
      </c>
      <c r="D33" s="15" t="inlineStr">
        <is>
          <t>Proof</t>
        </is>
      </c>
    </row>
    <row r="34">
      <c r="A34" s="15" t="n">
        <v>31</v>
      </c>
      <c r="B34" s="15" t="inlineStr">
        <is>
          <t>Result</t>
        </is>
      </c>
      <c r="C34" s="16" t="inlineStr">
        <is>
          <t>What [price or amount] gets you with [offer].</t>
        </is>
      </c>
      <c r="D34" s="15" t="inlineStr">
        <is>
          <t>Proof</t>
        </is>
      </c>
    </row>
    <row r="35">
      <c r="A35" s="15" t="n">
        <v>32</v>
      </c>
      <c r="B35" s="15" t="inlineStr">
        <is>
          <t>Result</t>
        </is>
      </c>
      <c r="C35" s="16" t="inlineStr">
        <is>
          <t>We just [milestone]. Here's what actually made the difference.</t>
        </is>
      </c>
      <c r="D35" s="15" t="inlineStr">
        <is>
          <t>Proof</t>
        </is>
      </c>
    </row>
    <row r="36">
      <c r="A36" s="15" t="n">
        <v>33</v>
      </c>
      <c r="B36" s="15" t="inlineStr">
        <is>
          <t>Result</t>
        </is>
      </c>
      <c r="C36" s="16" t="inlineStr">
        <is>
          <t>Watch this [thing] go from [before] to [after].</t>
        </is>
      </c>
      <c r="D36" s="15" t="inlineStr">
        <is>
          <t>Proof</t>
        </is>
      </c>
    </row>
    <row r="37">
      <c r="A37" s="15" t="n">
        <v>34</v>
      </c>
      <c r="B37" s="15" t="inlineStr">
        <is>
          <t>Result</t>
        </is>
      </c>
      <c r="C37" s="16" t="inlineStr">
        <is>
          <t>[Customer] said [exact quote]. Here's what we did.</t>
        </is>
      </c>
      <c r="D37" s="15" t="inlineStr">
        <is>
          <t>Proof</t>
        </is>
      </c>
    </row>
    <row r="38">
      <c r="A38" s="15" t="n">
        <v>35</v>
      </c>
      <c r="B38" s="15" t="inlineStr">
        <is>
          <t>Result</t>
        </is>
      </c>
      <c r="C38" s="16" t="inlineStr">
        <is>
          <t>My [first / tenth / best] [sale, client, drop] and what I learned.</t>
        </is>
      </c>
      <c r="D38" s="15" t="inlineStr">
        <is>
          <t>Proof</t>
        </is>
      </c>
    </row>
    <row r="39">
      <c r="A39" s="15" t="n">
        <v>36</v>
      </c>
      <c r="B39" s="15" t="inlineStr">
        <is>
          <t>Behind the scenes</t>
        </is>
      </c>
      <c r="C39" s="16" t="inlineStr">
        <is>
          <t>A day running [business] while [other commitment].</t>
        </is>
      </c>
      <c r="D39" s="15" t="inlineStr">
        <is>
          <t>You or Proof</t>
        </is>
      </c>
    </row>
    <row r="40">
      <c r="A40" s="15" t="n">
        <v>37</v>
      </c>
      <c r="B40" s="15" t="inlineStr">
        <is>
          <t>Behind the scenes</t>
        </is>
      </c>
      <c r="C40" s="16" t="inlineStr">
        <is>
          <t>What goes into one [product or service] that nobody sees.</t>
        </is>
      </c>
      <c r="D40" s="15" t="inlineStr">
        <is>
          <t>You or Proof</t>
        </is>
      </c>
    </row>
    <row r="41">
      <c r="A41" s="15" t="n">
        <v>38</v>
      </c>
      <c r="B41" s="15" t="inlineStr">
        <is>
          <t>Behind the scenes</t>
        </is>
      </c>
      <c r="C41" s="16" t="inlineStr">
        <is>
          <t>Packing orders for [business]. Come with me.</t>
        </is>
      </c>
      <c r="D41" s="15" t="inlineStr">
        <is>
          <t>You or Proof</t>
        </is>
      </c>
    </row>
    <row r="42">
      <c r="A42" s="15" t="n">
        <v>39</v>
      </c>
      <c r="B42" s="15" t="inlineStr">
        <is>
          <t>Behind the scenes</t>
        </is>
      </c>
      <c r="C42" s="16" t="inlineStr">
        <is>
          <t>Here's what my [setup / workspace / process] actually looks like.</t>
        </is>
      </c>
      <c r="D42" s="15" t="inlineStr">
        <is>
          <t>You or Proof</t>
        </is>
      </c>
    </row>
    <row r="43">
      <c r="A43" s="15" t="n">
        <v>40</v>
      </c>
      <c r="B43" s="15" t="inlineStr">
        <is>
          <t>Behind the scenes</t>
        </is>
      </c>
      <c r="C43" s="16" t="inlineStr">
        <is>
          <t>The part of [business] I hate, and why I do it anyway.</t>
        </is>
      </c>
      <c r="D43" s="15" t="inlineStr">
        <is>
          <t>You or Proof</t>
        </is>
      </c>
    </row>
    <row r="44">
      <c r="A44" s="15" t="n">
        <v>41</v>
      </c>
      <c r="B44" s="15" t="inlineStr">
        <is>
          <t>Behind the scenes</t>
        </is>
      </c>
      <c r="C44" s="16" t="inlineStr">
        <is>
          <t>Honest update: week [number] of building [business].</t>
        </is>
      </c>
      <c r="D44" s="15" t="inlineStr">
        <is>
          <t>You or Proof</t>
        </is>
      </c>
    </row>
    <row r="45">
      <c r="A45" s="15" t="n">
        <v>42</v>
      </c>
      <c r="B45" s="15" t="inlineStr">
        <is>
          <t>Behind the scenes</t>
        </is>
      </c>
      <c r="C45" s="16" t="inlineStr">
        <is>
          <t>Here's how a [service] session actually goes.</t>
        </is>
      </c>
      <c r="D45" s="15" t="inlineStr">
        <is>
          <t>You or Proof</t>
        </is>
      </c>
    </row>
  </sheetData>
  <autoFilter ref="A3:D45"/>
  <dataValidations count="1">
    <dataValidation sqref="B4:B45" showDropDown="0" showInputMessage="0" showErrorMessage="0" allowBlank="1" type="list">
      <formula1>"Story,Mistake,Contrarian,How-to,Result,Behind the scenes"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63"/>
  <sheetViews>
    <sheetView showGridLines="0" tabSelected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8" customWidth="1" min="2" max="2"/>
    <col width="14" customWidth="1" min="3" max="3"/>
    <col width="10" customWidth="1" min="4" max="4"/>
    <col width="11" customWidth="1" min="5" max="5"/>
    <col width="9" customWidth="1" min="6" max="6"/>
    <col width="9" customWidth="1" min="7" max="7"/>
    <col width="9" customWidth="1" min="8" max="8"/>
    <col width="10" customWidth="1" min="9" max="9"/>
    <col width="11" customWidth="1" min="10" max="10"/>
  </cols>
  <sheetData>
    <row r="1" ht="26" customHeight="1">
      <c r="A1" s="12" t="inlineStr">
        <is>
          <t>My hooks</t>
        </is>
      </c>
    </row>
    <row r="2" ht="16" customHeight="1">
      <c r="A2" s="13" t="inlineStr">
        <is>
          <t>Write five hooks for every post and pick the best. Test the runner-up next time.</t>
        </is>
      </c>
    </row>
    <row r="3" ht="40" customHeight="1">
      <c r="A3" s="14" t="inlineStr">
        <is>
          <t>Your hook, filled in</t>
        </is>
      </c>
      <c r="B3" s="14" t="inlineStr">
        <is>
          <t># from the bank</t>
        </is>
      </c>
      <c r="C3" s="17" t="inlineStr">
        <is>
          <t>Type</t>
        </is>
      </c>
      <c r="D3" s="14" t="inlineStr">
        <is>
          <t>Pillar</t>
        </is>
      </c>
      <c r="E3" s="14" t="inlineStr">
        <is>
          <t>Posted on</t>
        </is>
      </c>
      <c r="F3" s="14" t="inlineStr">
        <is>
          <t>Views (48h)</t>
        </is>
      </c>
      <c r="G3" s="14" t="inlineStr">
        <is>
          <t>Saves + shares</t>
        </is>
      </c>
      <c r="H3" s="14" t="inlineStr">
        <is>
          <t>Comments + DMs</t>
        </is>
      </c>
      <c r="I3" s="17" t="inlineStr">
        <is>
          <t>Views vs your average</t>
        </is>
      </c>
      <c r="J3" s="14" t="inlineStr">
        <is>
          <t>Keep, remix or drop</t>
        </is>
      </c>
    </row>
    <row r="4">
      <c r="A4" s="16" t="n"/>
      <c r="B4" s="18" t="n"/>
      <c r="C4" s="19">
        <f>IFERROR(INDEX('Hook bank'!$B$4:$B$45,MATCH(B4,'Hook bank'!$A$4:$A$45,0)),"")</f>
        <v/>
      </c>
      <c r="D4" s="15" t="n"/>
      <c r="E4" s="20" t="n"/>
      <c r="F4" s="18" t="n"/>
      <c r="G4" s="18" t="n"/>
      <c r="H4" s="18" t="n"/>
      <c r="I4" s="21">
        <f>IF(N(F4)=0,"",F4/AVERAGEIF($F$4:$F$63,"&gt;0"))</f>
        <v/>
      </c>
      <c r="J4" s="15" t="n"/>
    </row>
    <row r="5">
      <c r="A5" s="16" t="n"/>
      <c r="B5" s="18" t="n"/>
      <c r="C5" s="19">
        <f>IFERROR(INDEX('Hook bank'!$B$4:$B$45,MATCH(B5,'Hook bank'!$A$4:$A$45,0)),"")</f>
        <v/>
      </c>
      <c r="D5" s="15" t="n"/>
      <c r="E5" s="20" t="n"/>
      <c r="F5" s="18" t="n"/>
      <c r="G5" s="18" t="n"/>
      <c r="H5" s="18" t="n"/>
      <c r="I5" s="21">
        <f>IF(N(F5)=0,"",F5/AVERAGEIF($F$4:$F$63,"&gt;0"))</f>
        <v/>
      </c>
      <c r="J5" s="15" t="n"/>
    </row>
    <row r="6">
      <c r="A6" s="16" t="n"/>
      <c r="B6" s="18" t="n"/>
      <c r="C6" s="19">
        <f>IFERROR(INDEX('Hook bank'!$B$4:$B$45,MATCH(B6,'Hook bank'!$A$4:$A$45,0)),"")</f>
        <v/>
      </c>
      <c r="D6" s="15" t="n"/>
      <c r="E6" s="20" t="n"/>
      <c r="F6" s="18" t="n"/>
      <c r="G6" s="18" t="n"/>
      <c r="H6" s="18" t="n"/>
      <c r="I6" s="21">
        <f>IF(N(F6)=0,"",F6/AVERAGEIF($F$4:$F$63,"&gt;0"))</f>
        <v/>
      </c>
      <c r="J6" s="15" t="n"/>
    </row>
    <row r="7">
      <c r="A7" s="16" t="n"/>
      <c r="B7" s="18" t="n"/>
      <c r="C7" s="19">
        <f>IFERROR(INDEX('Hook bank'!$B$4:$B$45,MATCH(B7,'Hook bank'!$A$4:$A$45,0)),"")</f>
        <v/>
      </c>
      <c r="D7" s="15" t="n"/>
      <c r="E7" s="20" t="n"/>
      <c r="F7" s="18" t="n"/>
      <c r="G7" s="18" t="n"/>
      <c r="H7" s="18" t="n"/>
      <c r="I7" s="21">
        <f>IF(N(F7)=0,"",F7/AVERAGEIF($F$4:$F$63,"&gt;0"))</f>
        <v/>
      </c>
      <c r="J7" s="15" t="n"/>
    </row>
    <row r="8">
      <c r="A8" s="16" t="n"/>
      <c r="B8" s="18" t="n"/>
      <c r="C8" s="19">
        <f>IFERROR(INDEX('Hook bank'!$B$4:$B$45,MATCH(B8,'Hook bank'!$A$4:$A$45,0)),"")</f>
        <v/>
      </c>
      <c r="D8" s="15" t="n"/>
      <c r="E8" s="20" t="n"/>
      <c r="F8" s="18" t="n"/>
      <c r="G8" s="18" t="n"/>
      <c r="H8" s="18" t="n"/>
      <c r="I8" s="21">
        <f>IF(N(F8)=0,"",F8/AVERAGEIF($F$4:$F$63,"&gt;0"))</f>
        <v/>
      </c>
      <c r="J8" s="15" t="n"/>
    </row>
    <row r="9">
      <c r="A9" s="16" t="n"/>
      <c r="B9" s="18" t="n"/>
      <c r="C9" s="19">
        <f>IFERROR(INDEX('Hook bank'!$B$4:$B$45,MATCH(B9,'Hook bank'!$A$4:$A$45,0)),"")</f>
        <v/>
      </c>
      <c r="D9" s="15" t="n"/>
      <c r="E9" s="20" t="n"/>
      <c r="F9" s="18" t="n"/>
      <c r="G9" s="18" t="n"/>
      <c r="H9" s="18" t="n"/>
      <c r="I9" s="21">
        <f>IF(N(F9)=0,"",F9/AVERAGEIF($F$4:$F$63,"&gt;0"))</f>
        <v/>
      </c>
      <c r="J9" s="15" t="n"/>
    </row>
    <row r="10">
      <c r="A10" s="16" t="n"/>
      <c r="B10" s="18" t="n"/>
      <c r="C10" s="19">
        <f>IFERROR(INDEX('Hook bank'!$B$4:$B$45,MATCH(B10,'Hook bank'!$A$4:$A$45,0)),"")</f>
        <v/>
      </c>
      <c r="D10" s="15" t="n"/>
      <c r="E10" s="20" t="n"/>
      <c r="F10" s="18" t="n"/>
      <c r="G10" s="18" t="n"/>
      <c r="H10" s="18" t="n"/>
      <c r="I10" s="21">
        <f>IF(N(F10)=0,"",F10/AVERAGEIF($F$4:$F$63,"&gt;0"))</f>
        <v/>
      </c>
      <c r="J10" s="15" t="n"/>
    </row>
    <row r="11">
      <c r="A11" s="16" t="n"/>
      <c r="B11" s="18" t="n"/>
      <c r="C11" s="19">
        <f>IFERROR(INDEX('Hook bank'!$B$4:$B$45,MATCH(B11,'Hook bank'!$A$4:$A$45,0)),"")</f>
        <v/>
      </c>
      <c r="D11" s="15" t="n"/>
      <c r="E11" s="20" t="n"/>
      <c r="F11" s="18" t="n"/>
      <c r="G11" s="18" t="n"/>
      <c r="H11" s="18" t="n"/>
      <c r="I11" s="21">
        <f>IF(N(F11)=0,"",F11/AVERAGEIF($F$4:$F$63,"&gt;0"))</f>
        <v/>
      </c>
      <c r="J11" s="15" t="n"/>
    </row>
    <row r="12">
      <c r="A12" s="16" t="n"/>
      <c r="B12" s="18" t="n"/>
      <c r="C12" s="19">
        <f>IFERROR(INDEX('Hook bank'!$B$4:$B$45,MATCH(B12,'Hook bank'!$A$4:$A$45,0)),"")</f>
        <v/>
      </c>
      <c r="D12" s="15" t="n"/>
      <c r="E12" s="20" t="n"/>
      <c r="F12" s="18" t="n"/>
      <c r="G12" s="18" t="n"/>
      <c r="H12" s="18" t="n"/>
      <c r="I12" s="21">
        <f>IF(N(F12)=0,"",F12/AVERAGEIF($F$4:$F$63,"&gt;0"))</f>
        <v/>
      </c>
      <c r="J12" s="15" t="n"/>
    </row>
    <row r="13">
      <c r="A13" s="16" t="n"/>
      <c r="B13" s="18" t="n"/>
      <c r="C13" s="19">
        <f>IFERROR(INDEX('Hook bank'!$B$4:$B$45,MATCH(B13,'Hook bank'!$A$4:$A$45,0)),"")</f>
        <v/>
      </c>
      <c r="D13" s="15" t="n"/>
      <c r="E13" s="20" t="n"/>
      <c r="F13" s="18" t="n"/>
      <c r="G13" s="18" t="n"/>
      <c r="H13" s="18" t="n"/>
      <c r="I13" s="21">
        <f>IF(N(F13)=0,"",F13/AVERAGEIF($F$4:$F$63,"&gt;0"))</f>
        <v/>
      </c>
      <c r="J13" s="15" t="n"/>
    </row>
    <row r="14">
      <c r="A14" s="16" t="n"/>
      <c r="B14" s="18" t="n"/>
      <c r="C14" s="19">
        <f>IFERROR(INDEX('Hook bank'!$B$4:$B$45,MATCH(B14,'Hook bank'!$A$4:$A$45,0)),"")</f>
        <v/>
      </c>
      <c r="D14" s="15" t="n"/>
      <c r="E14" s="20" t="n"/>
      <c r="F14" s="18" t="n"/>
      <c r="G14" s="18" t="n"/>
      <c r="H14" s="18" t="n"/>
      <c r="I14" s="21">
        <f>IF(N(F14)=0,"",F14/AVERAGEIF($F$4:$F$63,"&gt;0"))</f>
        <v/>
      </c>
      <c r="J14" s="15" t="n"/>
    </row>
    <row r="15">
      <c r="A15" s="16" t="n"/>
      <c r="B15" s="18" t="n"/>
      <c r="C15" s="19">
        <f>IFERROR(INDEX('Hook bank'!$B$4:$B$45,MATCH(B15,'Hook bank'!$A$4:$A$45,0)),"")</f>
        <v/>
      </c>
      <c r="D15" s="15" t="n"/>
      <c r="E15" s="20" t="n"/>
      <c r="F15" s="18" t="n"/>
      <c r="G15" s="18" t="n"/>
      <c r="H15" s="18" t="n"/>
      <c r="I15" s="21">
        <f>IF(N(F15)=0,"",F15/AVERAGEIF($F$4:$F$63,"&gt;0"))</f>
        <v/>
      </c>
      <c r="J15" s="15" t="n"/>
    </row>
    <row r="16">
      <c r="A16" s="16" t="n"/>
      <c r="B16" s="18" t="n"/>
      <c r="C16" s="19">
        <f>IFERROR(INDEX('Hook bank'!$B$4:$B$45,MATCH(B16,'Hook bank'!$A$4:$A$45,0)),"")</f>
        <v/>
      </c>
      <c r="D16" s="15" t="n"/>
      <c r="E16" s="20" t="n"/>
      <c r="F16" s="18" t="n"/>
      <c r="G16" s="18" t="n"/>
      <c r="H16" s="18" t="n"/>
      <c r="I16" s="21">
        <f>IF(N(F16)=0,"",F16/AVERAGEIF($F$4:$F$63,"&gt;0"))</f>
        <v/>
      </c>
      <c r="J16" s="15" t="n"/>
    </row>
    <row r="17">
      <c r="A17" s="16" t="n"/>
      <c r="B17" s="18" t="n"/>
      <c r="C17" s="19">
        <f>IFERROR(INDEX('Hook bank'!$B$4:$B$45,MATCH(B17,'Hook bank'!$A$4:$A$45,0)),"")</f>
        <v/>
      </c>
      <c r="D17" s="15" t="n"/>
      <c r="E17" s="20" t="n"/>
      <c r="F17" s="18" t="n"/>
      <c r="G17" s="18" t="n"/>
      <c r="H17" s="18" t="n"/>
      <c r="I17" s="21">
        <f>IF(N(F17)=0,"",F17/AVERAGEIF($F$4:$F$63,"&gt;0"))</f>
        <v/>
      </c>
      <c r="J17" s="15" t="n"/>
    </row>
    <row r="18">
      <c r="A18" s="16" t="n"/>
      <c r="B18" s="18" t="n"/>
      <c r="C18" s="19">
        <f>IFERROR(INDEX('Hook bank'!$B$4:$B$45,MATCH(B18,'Hook bank'!$A$4:$A$45,0)),"")</f>
        <v/>
      </c>
      <c r="D18" s="15" t="n"/>
      <c r="E18" s="20" t="n"/>
      <c r="F18" s="18" t="n"/>
      <c r="G18" s="18" t="n"/>
      <c r="H18" s="18" t="n"/>
      <c r="I18" s="21">
        <f>IF(N(F18)=0,"",F18/AVERAGEIF($F$4:$F$63,"&gt;0"))</f>
        <v/>
      </c>
      <c r="J18" s="15" t="n"/>
    </row>
    <row r="19">
      <c r="A19" s="16" t="n"/>
      <c r="B19" s="18" t="n"/>
      <c r="C19" s="19">
        <f>IFERROR(INDEX('Hook bank'!$B$4:$B$45,MATCH(B19,'Hook bank'!$A$4:$A$45,0)),"")</f>
        <v/>
      </c>
      <c r="D19" s="15" t="n"/>
      <c r="E19" s="20" t="n"/>
      <c r="F19" s="18" t="n"/>
      <c r="G19" s="18" t="n"/>
      <c r="H19" s="18" t="n"/>
      <c r="I19" s="21">
        <f>IF(N(F19)=0,"",F19/AVERAGEIF($F$4:$F$63,"&gt;0"))</f>
        <v/>
      </c>
      <c r="J19" s="15" t="n"/>
    </row>
    <row r="20">
      <c r="A20" s="16" t="n"/>
      <c r="B20" s="18" t="n"/>
      <c r="C20" s="19">
        <f>IFERROR(INDEX('Hook bank'!$B$4:$B$45,MATCH(B20,'Hook bank'!$A$4:$A$45,0)),"")</f>
        <v/>
      </c>
      <c r="D20" s="15" t="n"/>
      <c r="E20" s="20" t="n"/>
      <c r="F20" s="18" t="n"/>
      <c r="G20" s="18" t="n"/>
      <c r="H20" s="18" t="n"/>
      <c r="I20" s="21">
        <f>IF(N(F20)=0,"",F20/AVERAGEIF($F$4:$F$63,"&gt;0"))</f>
        <v/>
      </c>
      <c r="J20" s="15" t="n"/>
    </row>
    <row r="21">
      <c r="A21" s="16" t="n"/>
      <c r="B21" s="18" t="n"/>
      <c r="C21" s="19">
        <f>IFERROR(INDEX('Hook bank'!$B$4:$B$45,MATCH(B21,'Hook bank'!$A$4:$A$45,0)),"")</f>
        <v/>
      </c>
      <c r="D21" s="15" t="n"/>
      <c r="E21" s="20" t="n"/>
      <c r="F21" s="18" t="n"/>
      <c r="G21" s="18" t="n"/>
      <c r="H21" s="18" t="n"/>
      <c r="I21" s="21">
        <f>IF(N(F21)=0,"",F21/AVERAGEIF($F$4:$F$63,"&gt;0"))</f>
        <v/>
      </c>
      <c r="J21" s="15" t="n"/>
    </row>
    <row r="22">
      <c r="A22" s="16" t="n"/>
      <c r="B22" s="18" t="n"/>
      <c r="C22" s="19">
        <f>IFERROR(INDEX('Hook bank'!$B$4:$B$45,MATCH(B22,'Hook bank'!$A$4:$A$45,0)),"")</f>
        <v/>
      </c>
      <c r="D22" s="15" t="n"/>
      <c r="E22" s="20" t="n"/>
      <c r="F22" s="18" t="n"/>
      <c r="G22" s="18" t="n"/>
      <c r="H22" s="18" t="n"/>
      <c r="I22" s="21">
        <f>IF(N(F22)=0,"",F22/AVERAGEIF($F$4:$F$63,"&gt;0"))</f>
        <v/>
      </c>
      <c r="J22" s="15" t="n"/>
    </row>
    <row r="23">
      <c r="A23" s="16" t="n"/>
      <c r="B23" s="18" t="n"/>
      <c r="C23" s="19">
        <f>IFERROR(INDEX('Hook bank'!$B$4:$B$45,MATCH(B23,'Hook bank'!$A$4:$A$45,0)),"")</f>
        <v/>
      </c>
      <c r="D23" s="15" t="n"/>
      <c r="E23" s="20" t="n"/>
      <c r="F23" s="18" t="n"/>
      <c r="G23" s="18" t="n"/>
      <c r="H23" s="18" t="n"/>
      <c r="I23" s="21">
        <f>IF(N(F23)=0,"",F23/AVERAGEIF($F$4:$F$63,"&gt;0"))</f>
        <v/>
      </c>
      <c r="J23" s="15" t="n"/>
    </row>
    <row r="24">
      <c r="A24" s="16" t="n"/>
      <c r="B24" s="18" t="n"/>
      <c r="C24" s="19">
        <f>IFERROR(INDEX('Hook bank'!$B$4:$B$45,MATCH(B24,'Hook bank'!$A$4:$A$45,0)),"")</f>
        <v/>
      </c>
      <c r="D24" s="15" t="n"/>
      <c r="E24" s="20" t="n"/>
      <c r="F24" s="18" t="n"/>
      <c r="G24" s="18" t="n"/>
      <c r="H24" s="18" t="n"/>
      <c r="I24" s="21">
        <f>IF(N(F24)=0,"",F24/AVERAGEIF($F$4:$F$63,"&gt;0"))</f>
        <v/>
      </c>
      <c r="J24" s="15" t="n"/>
    </row>
    <row r="25">
      <c r="A25" s="16" t="n"/>
      <c r="B25" s="18" t="n"/>
      <c r="C25" s="19">
        <f>IFERROR(INDEX('Hook bank'!$B$4:$B$45,MATCH(B25,'Hook bank'!$A$4:$A$45,0)),"")</f>
        <v/>
      </c>
      <c r="D25" s="15" t="n"/>
      <c r="E25" s="20" t="n"/>
      <c r="F25" s="18" t="n"/>
      <c r="G25" s="18" t="n"/>
      <c r="H25" s="18" t="n"/>
      <c r="I25" s="21">
        <f>IF(N(F25)=0,"",F25/AVERAGEIF($F$4:$F$63,"&gt;0"))</f>
        <v/>
      </c>
      <c r="J25" s="15" t="n"/>
    </row>
    <row r="26">
      <c r="A26" s="16" t="n"/>
      <c r="B26" s="18" t="n"/>
      <c r="C26" s="19">
        <f>IFERROR(INDEX('Hook bank'!$B$4:$B$45,MATCH(B26,'Hook bank'!$A$4:$A$45,0)),"")</f>
        <v/>
      </c>
      <c r="D26" s="15" t="n"/>
      <c r="E26" s="20" t="n"/>
      <c r="F26" s="18" t="n"/>
      <c r="G26" s="18" t="n"/>
      <c r="H26" s="18" t="n"/>
      <c r="I26" s="21">
        <f>IF(N(F26)=0,"",F26/AVERAGEIF($F$4:$F$63,"&gt;0"))</f>
        <v/>
      </c>
      <c r="J26" s="15" t="n"/>
    </row>
    <row r="27">
      <c r="A27" s="16" t="n"/>
      <c r="B27" s="18" t="n"/>
      <c r="C27" s="19">
        <f>IFERROR(INDEX('Hook bank'!$B$4:$B$45,MATCH(B27,'Hook bank'!$A$4:$A$45,0)),"")</f>
        <v/>
      </c>
      <c r="D27" s="15" t="n"/>
      <c r="E27" s="20" t="n"/>
      <c r="F27" s="18" t="n"/>
      <c r="G27" s="18" t="n"/>
      <c r="H27" s="18" t="n"/>
      <c r="I27" s="21">
        <f>IF(N(F27)=0,"",F27/AVERAGEIF($F$4:$F$63,"&gt;0"))</f>
        <v/>
      </c>
      <c r="J27" s="15" t="n"/>
    </row>
    <row r="28">
      <c r="A28" s="16" t="n"/>
      <c r="B28" s="18" t="n"/>
      <c r="C28" s="19">
        <f>IFERROR(INDEX('Hook bank'!$B$4:$B$45,MATCH(B28,'Hook bank'!$A$4:$A$45,0)),"")</f>
        <v/>
      </c>
      <c r="D28" s="15" t="n"/>
      <c r="E28" s="20" t="n"/>
      <c r="F28" s="18" t="n"/>
      <c r="G28" s="18" t="n"/>
      <c r="H28" s="18" t="n"/>
      <c r="I28" s="21">
        <f>IF(N(F28)=0,"",F28/AVERAGEIF($F$4:$F$63,"&gt;0"))</f>
        <v/>
      </c>
      <c r="J28" s="15" t="n"/>
    </row>
    <row r="29">
      <c r="A29" s="16" t="n"/>
      <c r="B29" s="18" t="n"/>
      <c r="C29" s="19">
        <f>IFERROR(INDEX('Hook bank'!$B$4:$B$45,MATCH(B29,'Hook bank'!$A$4:$A$45,0)),"")</f>
        <v/>
      </c>
      <c r="D29" s="15" t="n"/>
      <c r="E29" s="20" t="n"/>
      <c r="F29" s="18" t="n"/>
      <c r="G29" s="18" t="n"/>
      <c r="H29" s="18" t="n"/>
      <c r="I29" s="21">
        <f>IF(N(F29)=0,"",F29/AVERAGEIF($F$4:$F$63,"&gt;0"))</f>
        <v/>
      </c>
      <c r="J29" s="15" t="n"/>
    </row>
    <row r="30">
      <c r="A30" s="16" t="n"/>
      <c r="B30" s="18" t="n"/>
      <c r="C30" s="19">
        <f>IFERROR(INDEX('Hook bank'!$B$4:$B$45,MATCH(B30,'Hook bank'!$A$4:$A$45,0)),"")</f>
        <v/>
      </c>
      <c r="D30" s="15" t="n"/>
      <c r="E30" s="20" t="n"/>
      <c r="F30" s="18" t="n"/>
      <c r="G30" s="18" t="n"/>
      <c r="H30" s="18" t="n"/>
      <c r="I30" s="21">
        <f>IF(N(F30)=0,"",F30/AVERAGEIF($F$4:$F$63,"&gt;0"))</f>
        <v/>
      </c>
      <c r="J30" s="15" t="n"/>
    </row>
    <row r="31">
      <c r="A31" s="16" t="n"/>
      <c r="B31" s="18" t="n"/>
      <c r="C31" s="19">
        <f>IFERROR(INDEX('Hook bank'!$B$4:$B$45,MATCH(B31,'Hook bank'!$A$4:$A$45,0)),"")</f>
        <v/>
      </c>
      <c r="D31" s="15" t="n"/>
      <c r="E31" s="20" t="n"/>
      <c r="F31" s="18" t="n"/>
      <c r="G31" s="18" t="n"/>
      <c r="H31" s="18" t="n"/>
      <c r="I31" s="21">
        <f>IF(N(F31)=0,"",F31/AVERAGEIF($F$4:$F$63,"&gt;0"))</f>
        <v/>
      </c>
      <c r="J31" s="15" t="n"/>
    </row>
    <row r="32">
      <c r="A32" s="16" t="n"/>
      <c r="B32" s="18" t="n"/>
      <c r="C32" s="19">
        <f>IFERROR(INDEX('Hook bank'!$B$4:$B$45,MATCH(B32,'Hook bank'!$A$4:$A$45,0)),"")</f>
        <v/>
      </c>
      <c r="D32" s="15" t="n"/>
      <c r="E32" s="20" t="n"/>
      <c r="F32" s="18" t="n"/>
      <c r="G32" s="18" t="n"/>
      <c r="H32" s="18" t="n"/>
      <c r="I32" s="21">
        <f>IF(N(F32)=0,"",F32/AVERAGEIF($F$4:$F$63,"&gt;0"))</f>
        <v/>
      </c>
      <c r="J32" s="15" t="n"/>
    </row>
    <row r="33">
      <c r="A33" s="16" t="n"/>
      <c r="B33" s="18" t="n"/>
      <c r="C33" s="19">
        <f>IFERROR(INDEX('Hook bank'!$B$4:$B$45,MATCH(B33,'Hook bank'!$A$4:$A$45,0)),"")</f>
        <v/>
      </c>
      <c r="D33" s="15" t="n"/>
      <c r="E33" s="20" t="n"/>
      <c r="F33" s="18" t="n"/>
      <c r="G33" s="18" t="n"/>
      <c r="H33" s="18" t="n"/>
      <c r="I33" s="21">
        <f>IF(N(F33)=0,"",F33/AVERAGEIF($F$4:$F$63,"&gt;0"))</f>
        <v/>
      </c>
      <c r="J33" s="15" t="n"/>
    </row>
    <row r="34">
      <c r="A34" s="16" t="n"/>
      <c r="B34" s="18" t="n"/>
      <c r="C34" s="19">
        <f>IFERROR(INDEX('Hook bank'!$B$4:$B$45,MATCH(B34,'Hook bank'!$A$4:$A$45,0)),"")</f>
        <v/>
      </c>
      <c r="D34" s="15" t="n"/>
      <c r="E34" s="20" t="n"/>
      <c r="F34" s="18" t="n"/>
      <c r="G34" s="18" t="n"/>
      <c r="H34" s="18" t="n"/>
      <c r="I34" s="21">
        <f>IF(N(F34)=0,"",F34/AVERAGEIF($F$4:$F$63,"&gt;0"))</f>
        <v/>
      </c>
      <c r="J34" s="15" t="n"/>
    </row>
    <row r="35">
      <c r="A35" s="16" t="n"/>
      <c r="B35" s="18" t="n"/>
      <c r="C35" s="19">
        <f>IFERROR(INDEX('Hook bank'!$B$4:$B$45,MATCH(B35,'Hook bank'!$A$4:$A$45,0)),"")</f>
        <v/>
      </c>
      <c r="D35" s="15" t="n"/>
      <c r="E35" s="20" t="n"/>
      <c r="F35" s="18" t="n"/>
      <c r="G35" s="18" t="n"/>
      <c r="H35" s="18" t="n"/>
      <c r="I35" s="21">
        <f>IF(N(F35)=0,"",F35/AVERAGEIF($F$4:$F$63,"&gt;0"))</f>
        <v/>
      </c>
      <c r="J35" s="15" t="n"/>
    </row>
    <row r="36">
      <c r="A36" s="16" t="n"/>
      <c r="B36" s="18" t="n"/>
      <c r="C36" s="19">
        <f>IFERROR(INDEX('Hook bank'!$B$4:$B$45,MATCH(B36,'Hook bank'!$A$4:$A$45,0)),"")</f>
        <v/>
      </c>
      <c r="D36" s="15" t="n"/>
      <c r="E36" s="20" t="n"/>
      <c r="F36" s="18" t="n"/>
      <c r="G36" s="18" t="n"/>
      <c r="H36" s="18" t="n"/>
      <c r="I36" s="21">
        <f>IF(N(F36)=0,"",F36/AVERAGEIF($F$4:$F$63,"&gt;0"))</f>
        <v/>
      </c>
      <c r="J36" s="15" t="n"/>
    </row>
    <row r="37">
      <c r="A37" s="16" t="n"/>
      <c r="B37" s="18" t="n"/>
      <c r="C37" s="19">
        <f>IFERROR(INDEX('Hook bank'!$B$4:$B$45,MATCH(B37,'Hook bank'!$A$4:$A$45,0)),"")</f>
        <v/>
      </c>
      <c r="D37" s="15" t="n"/>
      <c r="E37" s="20" t="n"/>
      <c r="F37" s="18" t="n"/>
      <c r="G37" s="18" t="n"/>
      <c r="H37" s="18" t="n"/>
      <c r="I37" s="21">
        <f>IF(N(F37)=0,"",F37/AVERAGEIF($F$4:$F$63,"&gt;0"))</f>
        <v/>
      </c>
      <c r="J37" s="15" t="n"/>
    </row>
    <row r="38">
      <c r="A38" s="16" t="n"/>
      <c r="B38" s="18" t="n"/>
      <c r="C38" s="19">
        <f>IFERROR(INDEX('Hook bank'!$B$4:$B$45,MATCH(B38,'Hook bank'!$A$4:$A$45,0)),"")</f>
        <v/>
      </c>
      <c r="D38" s="15" t="n"/>
      <c r="E38" s="20" t="n"/>
      <c r="F38" s="18" t="n"/>
      <c r="G38" s="18" t="n"/>
      <c r="H38" s="18" t="n"/>
      <c r="I38" s="21">
        <f>IF(N(F38)=0,"",F38/AVERAGEIF($F$4:$F$63,"&gt;0"))</f>
        <v/>
      </c>
      <c r="J38" s="15" t="n"/>
    </row>
    <row r="39">
      <c r="A39" s="16" t="n"/>
      <c r="B39" s="18" t="n"/>
      <c r="C39" s="19">
        <f>IFERROR(INDEX('Hook bank'!$B$4:$B$45,MATCH(B39,'Hook bank'!$A$4:$A$45,0)),"")</f>
        <v/>
      </c>
      <c r="D39" s="15" t="n"/>
      <c r="E39" s="20" t="n"/>
      <c r="F39" s="18" t="n"/>
      <c r="G39" s="18" t="n"/>
      <c r="H39" s="18" t="n"/>
      <c r="I39" s="21">
        <f>IF(N(F39)=0,"",F39/AVERAGEIF($F$4:$F$63,"&gt;0"))</f>
        <v/>
      </c>
      <c r="J39" s="15" t="n"/>
    </row>
    <row r="40">
      <c r="A40" s="16" t="n"/>
      <c r="B40" s="18" t="n"/>
      <c r="C40" s="19">
        <f>IFERROR(INDEX('Hook bank'!$B$4:$B$45,MATCH(B40,'Hook bank'!$A$4:$A$45,0)),"")</f>
        <v/>
      </c>
      <c r="D40" s="15" t="n"/>
      <c r="E40" s="20" t="n"/>
      <c r="F40" s="18" t="n"/>
      <c r="G40" s="18" t="n"/>
      <c r="H40" s="18" t="n"/>
      <c r="I40" s="21">
        <f>IF(N(F40)=0,"",F40/AVERAGEIF($F$4:$F$63,"&gt;0"))</f>
        <v/>
      </c>
      <c r="J40" s="15" t="n"/>
    </row>
    <row r="41">
      <c r="A41" s="16" t="n"/>
      <c r="B41" s="18" t="n"/>
      <c r="C41" s="19">
        <f>IFERROR(INDEX('Hook bank'!$B$4:$B$45,MATCH(B41,'Hook bank'!$A$4:$A$45,0)),"")</f>
        <v/>
      </c>
      <c r="D41" s="15" t="n"/>
      <c r="E41" s="20" t="n"/>
      <c r="F41" s="18" t="n"/>
      <c r="G41" s="18" t="n"/>
      <c r="H41" s="18" t="n"/>
      <c r="I41" s="21">
        <f>IF(N(F41)=0,"",F41/AVERAGEIF($F$4:$F$63,"&gt;0"))</f>
        <v/>
      </c>
      <c r="J41" s="15" t="n"/>
    </row>
    <row r="42">
      <c r="A42" s="16" t="n"/>
      <c r="B42" s="18" t="n"/>
      <c r="C42" s="19">
        <f>IFERROR(INDEX('Hook bank'!$B$4:$B$45,MATCH(B42,'Hook bank'!$A$4:$A$45,0)),"")</f>
        <v/>
      </c>
      <c r="D42" s="15" t="n"/>
      <c r="E42" s="20" t="n"/>
      <c r="F42" s="18" t="n"/>
      <c r="G42" s="18" t="n"/>
      <c r="H42" s="18" t="n"/>
      <c r="I42" s="21">
        <f>IF(N(F42)=0,"",F42/AVERAGEIF($F$4:$F$63,"&gt;0"))</f>
        <v/>
      </c>
      <c r="J42" s="15" t="n"/>
    </row>
    <row r="43">
      <c r="A43" s="16" t="n"/>
      <c r="B43" s="18" t="n"/>
      <c r="C43" s="19">
        <f>IFERROR(INDEX('Hook bank'!$B$4:$B$45,MATCH(B43,'Hook bank'!$A$4:$A$45,0)),"")</f>
        <v/>
      </c>
      <c r="D43" s="15" t="n"/>
      <c r="E43" s="20" t="n"/>
      <c r="F43" s="18" t="n"/>
      <c r="G43" s="18" t="n"/>
      <c r="H43" s="18" t="n"/>
      <c r="I43" s="21">
        <f>IF(N(F43)=0,"",F43/AVERAGEIF($F$4:$F$63,"&gt;0"))</f>
        <v/>
      </c>
      <c r="J43" s="15" t="n"/>
    </row>
    <row r="44">
      <c r="A44" s="16" t="n"/>
      <c r="B44" s="18" t="n"/>
      <c r="C44" s="19">
        <f>IFERROR(INDEX('Hook bank'!$B$4:$B$45,MATCH(B44,'Hook bank'!$A$4:$A$45,0)),"")</f>
        <v/>
      </c>
      <c r="D44" s="15" t="n"/>
      <c r="E44" s="20" t="n"/>
      <c r="F44" s="18" t="n"/>
      <c r="G44" s="18" t="n"/>
      <c r="H44" s="18" t="n"/>
      <c r="I44" s="21">
        <f>IF(N(F44)=0,"",F44/AVERAGEIF($F$4:$F$63,"&gt;0"))</f>
        <v/>
      </c>
      <c r="J44" s="15" t="n"/>
    </row>
    <row r="45">
      <c r="A45" s="16" t="n"/>
      <c r="B45" s="18" t="n"/>
      <c r="C45" s="19">
        <f>IFERROR(INDEX('Hook bank'!$B$4:$B$45,MATCH(B45,'Hook bank'!$A$4:$A$45,0)),"")</f>
        <v/>
      </c>
      <c r="D45" s="15" t="n"/>
      <c r="E45" s="20" t="n"/>
      <c r="F45" s="18" t="n"/>
      <c r="G45" s="18" t="n"/>
      <c r="H45" s="18" t="n"/>
      <c r="I45" s="21">
        <f>IF(N(F45)=0,"",F45/AVERAGEIF($F$4:$F$63,"&gt;0"))</f>
        <v/>
      </c>
      <c r="J45" s="15" t="n"/>
    </row>
    <row r="46">
      <c r="A46" s="16" t="n"/>
      <c r="B46" s="18" t="n"/>
      <c r="C46" s="19">
        <f>IFERROR(INDEX('Hook bank'!$B$4:$B$45,MATCH(B46,'Hook bank'!$A$4:$A$45,0)),"")</f>
        <v/>
      </c>
      <c r="D46" s="15" t="n"/>
      <c r="E46" s="20" t="n"/>
      <c r="F46" s="18" t="n"/>
      <c r="G46" s="18" t="n"/>
      <c r="H46" s="18" t="n"/>
      <c r="I46" s="21">
        <f>IF(N(F46)=0,"",F46/AVERAGEIF($F$4:$F$63,"&gt;0"))</f>
        <v/>
      </c>
      <c r="J46" s="15" t="n"/>
    </row>
    <row r="47">
      <c r="A47" s="16" t="n"/>
      <c r="B47" s="18" t="n"/>
      <c r="C47" s="19">
        <f>IFERROR(INDEX('Hook bank'!$B$4:$B$45,MATCH(B47,'Hook bank'!$A$4:$A$45,0)),"")</f>
        <v/>
      </c>
      <c r="D47" s="15" t="n"/>
      <c r="E47" s="20" t="n"/>
      <c r="F47" s="18" t="n"/>
      <c r="G47" s="18" t="n"/>
      <c r="H47" s="18" t="n"/>
      <c r="I47" s="21">
        <f>IF(N(F47)=0,"",F47/AVERAGEIF($F$4:$F$63,"&gt;0"))</f>
        <v/>
      </c>
      <c r="J47" s="15" t="n"/>
    </row>
    <row r="48">
      <c r="A48" s="16" t="n"/>
      <c r="B48" s="18" t="n"/>
      <c r="C48" s="19">
        <f>IFERROR(INDEX('Hook bank'!$B$4:$B$45,MATCH(B48,'Hook bank'!$A$4:$A$45,0)),"")</f>
        <v/>
      </c>
      <c r="D48" s="15" t="n"/>
      <c r="E48" s="20" t="n"/>
      <c r="F48" s="18" t="n"/>
      <c r="G48" s="18" t="n"/>
      <c r="H48" s="18" t="n"/>
      <c r="I48" s="21">
        <f>IF(N(F48)=0,"",F48/AVERAGEIF($F$4:$F$63,"&gt;0"))</f>
        <v/>
      </c>
      <c r="J48" s="15" t="n"/>
    </row>
    <row r="49">
      <c r="A49" s="16" t="n"/>
      <c r="B49" s="18" t="n"/>
      <c r="C49" s="19">
        <f>IFERROR(INDEX('Hook bank'!$B$4:$B$45,MATCH(B49,'Hook bank'!$A$4:$A$45,0)),"")</f>
        <v/>
      </c>
      <c r="D49" s="15" t="n"/>
      <c r="E49" s="20" t="n"/>
      <c r="F49" s="18" t="n"/>
      <c r="G49" s="18" t="n"/>
      <c r="H49" s="18" t="n"/>
      <c r="I49" s="21">
        <f>IF(N(F49)=0,"",F49/AVERAGEIF($F$4:$F$63,"&gt;0"))</f>
        <v/>
      </c>
      <c r="J49" s="15" t="n"/>
    </row>
    <row r="50">
      <c r="A50" s="16" t="n"/>
      <c r="B50" s="18" t="n"/>
      <c r="C50" s="19">
        <f>IFERROR(INDEX('Hook bank'!$B$4:$B$45,MATCH(B50,'Hook bank'!$A$4:$A$45,0)),"")</f>
        <v/>
      </c>
      <c r="D50" s="15" t="n"/>
      <c r="E50" s="20" t="n"/>
      <c r="F50" s="18" t="n"/>
      <c r="G50" s="18" t="n"/>
      <c r="H50" s="18" t="n"/>
      <c r="I50" s="21">
        <f>IF(N(F50)=0,"",F50/AVERAGEIF($F$4:$F$63,"&gt;0"))</f>
        <v/>
      </c>
      <c r="J50" s="15" t="n"/>
    </row>
    <row r="51">
      <c r="A51" s="16" t="n"/>
      <c r="B51" s="18" t="n"/>
      <c r="C51" s="19">
        <f>IFERROR(INDEX('Hook bank'!$B$4:$B$45,MATCH(B51,'Hook bank'!$A$4:$A$45,0)),"")</f>
        <v/>
      </c>
      <c r="D51" s="15" t="n"/>
      <c r="E51" s="20" t="n"/>
      <c r="F51" s="18" t="n"/>
      <c r="G51" s="18" t="n"/>
      <c r="H51" s="18" t="n"/>
      <c r="I51" s="21">
        <f>IF(N(F51)=0,"",F51/AVERAGEIF($F$4:$F$63,"&gt;0"))</f>
        <v/>
      </c>
      <c r="J51" s="15" t="n"/>
    </row>
    <row r="52">
      <c r="A52" s="16" t="n"/>
      <c r="B52" s="18" t="n"/>
      <c r="C52" s="19">
        <f>IFERROR(INDEX('Hook bank'!$B$4:$B$45,MATCH(B52,'Hook bank'!$A$4:$A$45,0)),"")</f>
        <v/>
      </c>
      <c r="D52" s="15" t="n"/>
      <c r="E52" s="20" t="n"/>
      <c r="F52" s="18" t="n"/>
      <c r="G52" s="18" t="n"/>
      <c r="H52" s="18" t="n"/>
      <c r="I52" s="21">
        <f>IF(N(F52)=0,"",F52/AVERAGEIF($F$4:$F$63,"&gt;0"))</f>
        <v/>
      </c>
      <c r="J52" s="15" t="n"/>
    </row>
    <row r="53">
      <c r="A53" s="16" t="n"/>
      <c r="B53" s="18" t="n"/>
      <c r="C53" s="19">
        <f>IFERROR(INDEX('Hook bank'!$B$4:$B$45,MATCH(B53,'Hook bank'!$A$4:$A$45,0)),"")</f>
        <v/>
      </c>
      <c r="D53" s="15" t="n"/>
      <c r="E53" s="20" t="n"/>
      <c r="F53" s="18" t="n"/>
      <c r="G53" s="18" t="n"/>
      <c r="H53" s="18" t="n"/>
      <c r="I53" s="21">
        <f>IF(N(F53)=0,"",F53/AVERAGEIF($F$4:$F$63,"&gt;0"))</f>
        <v/>
      </c>
      <c r="J53" s="15" t="n"/>
    </row>
    <row r="54">
      <c r="A54" s="16" t="n"/>
      <c r="B54" s="18" t="n"/>
      <c r="C54" s="19">
        <f>IFERROR(INDEX('Hook bank'!$B$4:$B$45,MATCH(B54,'Hook bank'!$A$4:$A$45,0)),"")</f>
        <v/>
      </c>
      <c r="D54" s="15" t="n"/>
      <c r="E54" s="20" t="n"/>
      <c r="F54" s="18" t="n"/>
      <c r="G54" s="18" t="n"/>
      <c r="H54" s="18" t="n"/>
      <c r="I54" s="21">
        <f>IF(N(F54)=0,"",F54/AVERAGEIF($F$4:$F$63,"&gt;0"))</f>
        <v/>
      </c>
      <c r="J54" s="15" t="n"/>
    </row>
    <row r="55">
      <c r="A55" s="16" t="n"/>
      <c r="B55" s="18" t="n"/>
      <c r="C55" s="19">
        <f>IFERROR(INDEX('Hook bank'!$B$4:$B$45,MATCH(B55,'Hook bank'!$A$4:$A$45,0)),"")</f>
        <v/>
      </c>
      <c r="D55" s="15" t="n"/>
      <c r="E55" s="20" t="n"/>
      <c r="F55" s="18" t="n"/>
      <c r="G55" s="18" t="n"/>
      <c r="H55" s="18" t="n"/>
      <c r="I55" s="21">
        <f>IF(N(F55)=0,"",F55/AVERAGEIF($F$4:$F$63,"&gt;0"))</f>
        <v/>
      </c>
      <c r="J55" s="15" t="n"/>
    </row>
    <row r="56">
      <c r="A56" s="16" t="n"/>
      <c r="B56" s="18" t="n"/>
      <c r="C56" s="19">
        <f>IFERROR(INDEX('Hook bank'!$B$4:$B$45,MATCH(B56,'Hook bank'!$A$4:$A$45,0)),"")</f>
        <v/>
      </c>
      <c r="D56" s="15" t="n"/>
      <c r="E56" s="20" t="n"/>
      <c r="F56" s="18" t="n"/>
      <c r="G56" s="18" t="n"/>
      <c r="H56" s="18" t="n"/>
      <c r="I56" s="21">
        <f>IF(N(F56)=0,"",F56/AVERAGEIF($F$4:$F$63,"&gt;0"))</f>
        <v/>
      </c>
      <c r="J56" s="15" t="n"/>
    </row>
    <row r="57">
      <c r="A57" s="16" t="n"/>
      <c r="B57" s="18" t="n"/>
      <c r="C57" s="19">
        <f>IFERROR(INDEX('Hook bank'!$B$4:$B$45,MATCH(B57,'Hook bank'!$A$4:$A$45,0)),"")</f>
        <v/>
      </c>
      <c r="D57" s="15" t="n"/>
      <c r="E57" s="20" t="n"/>
      <c r="F57" s="18" t="n"/>
      <c r="G57" s="18" t="n"/>
      <c r="H57" s="18" t="n"/>
      <c r="I57" s="21">
        <f>IF(N(F57)=0,"",F57/AVERAGEIF($F$4:$F$63,"&gt;0"))</f>
        <v/>
      </c>
      <c r="J57" s="15" t="n"/>
    </row>
    <row r="58">
      <c r="A58" s="16" t="n"/>
      <c r="B58" s="18" t="n"/>
      <c r="C58" s="19">
        <f>IFERROR(INDEX('Hook bank'!$B$4:$B$45,MATCH(B58,'Hook bank'!$A$4:$A$45,0)),"")</f>
        <v/>
      </c>
      <c r="D58" s="15" t="n"/>
      <c r="E58" s="20" t="n"/>
      <c r="F58" s="18" t="n"/>
      <c r="G58" s="18" t="n"/>
      <c r="H58" s="18" t="n"/>
      <c r="I58" s="21">
        <f>IF(N(F58)=0,"",F58/AVERAGEIF($F$4:$F$63,"&gt;0"))</f>
        <v/>
      </c>
      <c r="J58" s="15" t="n"/>
    </row>
    <row r="59">
      <c r="A59" s="16" t="n"/>
      <c r="B59" s="18" t="n"/>
      <c r="C59" s="19">
        <f>IFERROR(INDEX('Hook bank'!$B$4:$B$45,MATCH(B59,'Hook bank'!$A$4:$A$45,0)),"")</f>
        <v/>
      </c>
      <c r="D59" s="15" t="n"/>
      <c r="E59" s="20" t="n"/>
      <c r="F59" s="18" t="n"/>
      <c r="G59" s="18" t="n"/>
      <c r="H59" s="18" t="n"/>
      <c r="I59" s="21">
        <f>IF(N(F59)=0,"",F59/AVERAGEIF($F$4:$F$63,"&gt;0"))</f>
        <v/>
      </c>
      <c r="J59" s="15" t="n"/>
    </row>
    <row r="60">
      <c r="A60" s="16" t="n"/>
      <c r="B60" s="18" t="n"/>
      <c r="C60" s="19">
        <f>IFERROR(INDEX('Hook bank'!$B$4:$B$45,MATCH(B60,'Hook bank'!$A$4:$A$45,0)),"")</f>
        <v/>
      </c>
      <c r="D60" s="15" t="n"/>
      <c r="E60" s="20" t="n"/>
      <c r="F60" s="18" t="n"/>
      <c r="G60" s="18" t="n"/>
      <c r="H60" s="18" t="n"/>
      <c r="I60" s="21">
        <f>IF(N(F60)=0,"",F60/AVERAGEIF($F$4:$F$63,"&gt;0"))</f>
        <v/>
      </c>
      <c r="J60" s="15" t="n"/>
    </row>
    <row r="61">
      <c r="A61" s="16" t="n"/>
      <c r="B61" s="18" t="n"/>
      <c r="C61" s="19">
        <f>IFERROR(INDEX('Hook bank'!$B$4:$B$45,MATCH(B61,'Hook bank'!$A$4:$A$45,0)),"")</f>
        <v/>
      </c>
      <c r="D61" s="15" t="n"/>
      <c r="E61" s="20" t="n"/>
      <c r="F61" s="18" t="n"/>
      <c r="G61" s="18" t="n"/>
      <c r="H61" s="18" t="n"/>
      <c r="I61" s="21">
        <f>IF(N(F61)=0,"",F61/AVERAGEIF($F$4:$F$63,"&gt;0"))</f>
        <v/>
      </c>
      <c r="J61" s="15" t="n"/>
    </row>
    <row r="62">
      <c r="A62" s="16" t="n"/>
      <c r="B62" s="18" t="n"/>
      <c r="C62" s="19">
        <f>IFERROR(INDEX('Hook bank'!$B$4:$B$45,MATCH(B62,'Hook bank'!$A$4:$A$45,0)),"")</f>
        <v/>
      </c>
      <c r="D62" s="15" t="n"/>
      <c r="E62" s="20" t="n"/>
      <c r="F62" s="18" t="n"/>
      <c r="G62" s="18" t="n"/>
      <c r="H62" s="18" t="n"/>
      <c r="I62" s="21">
        <f>IF(N(F62)=0,"",F62/AVERAGEIF($F$4:$F$63,"&gt;0"))</f>
        <v/>
      </c>
      <c r="J62" s="15" t="n"/>
    </row>
    <row r="63">
      <c r="A63" s="16" t="n"/>
      <c r="B63" s="18" t="n"/>
      <c r="C63" s="19">
        <f>IFERROR(INDEX('Hook bank'!$B$4:$B$45,MATCH(B63,'Hook bank'!$A$4:$A$45,0)),"")</f>
        <v/>
      </c>
      <c r="D63" s="15" t="n"/>
      <c r="E63" s="20" t="n"/>
      <c r="F63" s="18" t="n"/>
      <c r="G63" s="18" t="n"/>
      <c r="H63" s="18" t="n"/>
      <c r="I63" s="21">
        <f>IF(N(F63)=0,"",F63/AVERAGEIF($F$4:$F$63,"&gt;0"))</f>
        <v/>
      </c>
      <c r="J63" s="15" t="n"/>
    </row>
  </sheetData>
  <autoFilter ref="A3:J63"/>
  <conditionalFormatting sqref="A4:A63 I4:I63">
    <cfRule type="expression" priority="1" dxfId="0" stopIfTrue="0">
      <formula>AND(ISNUMBER(I4),I4&gt;=1.2)</formula>
    </cfRule>
  </conditionalFormatting>
  <conditionalFormatting sqref="I4:I63">
    <cfRule type="expression" priority="2" dxfId="1" stopIfTrue="0">
      <formula>AND(ISNUMBER(I4),I4&lt;0.8)</formula>
    </cfRule>
  </conditionalFormatting>
  <dataValidations count="2">
    <dataValidation sqref="D4:D63" showDropDown="0" showInputMessage="0" showErrorMessage="0" allowBlank="1" type="list">
      <formula1>"Teach,Proof,You"</formula1>
    </dataValidation>
    <dataValidation sqref="J4:J63" showDropDown="0" showInputMessage="0" showErrorMessage="0" allowBlank="1" type="list">
      <formula1>"Keep,Remix,Drop"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tabSelected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80" customWidth="1" min="3" max="3"/>
  </cols>
  <sheetData>
    <row r="1" ht="26" customHeight="1">
      <c r="A1" s="12" t="inlineStr">
        <is>
          <t>10 caption templates</t>
        </is>
      </c>
    </row>
    <row r="2" ht="16" customHeight="1">
      <c r="A2" s="13" t="inlineStr">
        <is>
          <t>The hook gets the view. The caption gives them a next step.</t>
        </is>
      </c>
    </row>
    <row r="3" ht="40" customHeight="1">
      <c r="A3" s="14" t="inlineStr">
        <is>
          <t>#</t>
        </is>
      </c>
      <c r="B3" s="14" t="inlineStr">
        <is>
          <t>Caption type</t>
        </is>
      </c>
      <c r="C3" s="14" t="inlineStr">
        <is>
          <t>Template</t>
        </is>
      </c>
    </row>
    <row r="4" ht="48" customHeight="1">
      <c r="A4" s="15" t="n">
        <v>1</v>
      </c>
      <c r="B4" s="15" t="inlineStr">
        <is>
          <t>Quick lesson</t>
        </is>
      </c>
      <c r="C4" s="16" t="inlineStr">
        <is>
          <t>[Hook restated]. Here's what I learned: [lesson in one sentence]. [CTA]</t>
        </is>
      </c>
    </row>
    <row r="5" ht="48" customHeight="1">
      <c r="A5" s="15" t="n">
        <v>2</v>
      </c>
      <c r="B5" s="15" t="inlineStr">
        <is>
          <t>Three tips</t>
        </is>
      </c>
      <c r="C5" s="16" t="inlineStr">
        <is>
          <t>[Number] things I wish I knew about [topic]:
1) [tip]
2) [tip]
3) [tip]
Which one are you trying first?</t>
        </is>
      </c>
    </row>
    <row r="6" ht="48" customHeight="1">
      <c r="A6" s="15" t="n">
        <v>3</v>
      </c>
      <c r="B6" s="15" t="inlineStr">
        <is>
          <t>Before / after</t>
        </is>
      </c>
      <c r="C6" s="16" t="inlineStr">
        <is>
          <t>Before: [situation]. After: [situation]. What changed: [one thing]. [CTA]</t>
        </is>
      </c>
    </row>
    <row r="7" ht="48" customHeight="1">
      <c r="A7" s="15" t="n">
        <v>4</v>
      </c>
      <c r="B7" s="15" t="inlineStr">
        <is>
          <t>Mistake</t>
        </is>
      </c>
      <c r="C7" s="16" t="inlineStr">
        <is>
          <t>I used to [mistake]. It cost me [cost]. Now I [new habit]. Don't repeat my mistake.</t>
        </is>
      </c>
    </row>
    <row r="8" ht="48" customHeight="1">
      <c r="A8" s="15" t="n">
        <v>5</v>
      </c>
      <c r="B8" s="15" t="inlineStr">
        <is>
          <t>Customer words</t>
        </is>
      </c>
      <c r="C8" s="16" t="inlineStr">
        <is>
          <t>'[exact customer quote].' That's why we [what you do]. [CTA]</t>
        </is>
      </c>
    </row>
    <row r="9" ht="48" customHeight="1">
      <c r="A9" s="15" t="n">
        <v>6</v>
      </c>
      <c r="B9" s="15" t="inlineStr">
        <is>
          <t>Story</t>
        </is>
      </c>
      <c r="C9" s="16" t="inlineStr">
        <is>
          <t>[Where you were]. [What happened]. [What you learned]. [Question for the reader]</t>
        </is>
      </c>
    </row>
    <row r="10" ht="48" customHeight="1">
      <c r="A10" s="15" t="n">
        <v>7</v>
      </c>
      <c r="B10" s="15" t="inlineStr">
        <is>
          <t>Behind the scenes</t>
        </is>
      </c>
      <c r="C10" s="16" t="inlineStr">
        <is>
          <t>What you didn't see: [hidden work]. This is why [result] takes [time].</t>
        </is>
      </c>
    </row>
    <row r="11" ht="48" customHeight="1">
      <c r="A11" s="15" t="n">
        <v>8</v>
      </c>
      <c r="B11" s="15" t="inlineStr">
        <is>
          <t>Question</t>
        </is>
      </c>
      <c r="C11" s="16" t="inlineStr">
        <is>
          <t>Honest question for [audience]: [question]? I'll reply to every comment.</t>
        </is>
      </c>
    </row>
    <row r="12" ht="48" customHeight="1">
      <c r="A12" s="15" t="n">
        <v>9</v>
      </c>
      <c r="B12" s="15" t="inlineStr">
        <is>
          <t>Offer</t>
        </is>
      </c>
      <c r="C12" s="16" t="inlineStr">
        <is>
          <t>I help [who] [get result] without [pain]. I'm taking [a real number] [clients / orders] this month. [CTA]</t>
        </is>
      </c>
    </row>
    <row r="13" ht="48" customHeight="1">
      <c r="A13" s="15" t="n">
        <v>10</v>
      </c>
      <c r="B13" s="15" t="inlineStr">
        <is>
          <t>Myth</t>
        </is>
      </c>
      <c r="C13" s="16" t="inlineStr">
        <is>
          <t>Myth: [common belief]. Truth: [what you've seen]. Here's why: [reason].</t>
        </is>
      </c>
    </row>
  </sheetData>
  <autoFilter ref="A3:C13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13"/>
  <sheetViews>
    <sheetView showGridLines="0" tabSelected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70" customWidth="1" min="2" max="2"/>
  </cols>
  <sheetData>
    <row r="1" ht="26" customHeight="1">
      <c r="A1" s="12" t="inlineStr">
        <is>
          <t>10 calls to action</t>
        </is>
      </c>
    </row>
    <row r="2" ht="16" customHeight="1">
      <c r="A2" s="13" t="inlineStr">
        <is>
          <t>One CTA per post, never three. Comments help reach, saves signal value, DMs start conversations.</t>
        </is>
      </c>
    </row>
    <row r="3" ht="40" customHeight="1">
      <c r="A3" s="14" t="inlineStr">
        <is>
          <t>#</t>
        </is>
      </c>
      <c r="B3" s="14" t="inlineStr">
        <is>
          <t>Call to action</t>
        </is>
      </c>
    </row>
    <row r="4">
      <c r="A4" s="15" t="n">
        <v>1</v>
      </c>
      <c r="B4" s="16" t="inlineStr">
        <is>
          <t>Comment '[keyword]' and I'll send you [free thing].</t>
        </is>
      </c>
    </row>
    <row r="5">
      <c r="A5" s="15" t="n">
        <v>2</v>
      </c>
      <c r="B5" s="16" t="inlineStr">
        <is>
          <t>Save this for the next time you [situation].</t>
        </is>
      </c>
    </row>
    <row r="6">
      <c r="A6" s="15" t="n">
        <v>3</v>
      </c>
      <c r="B6" s="16" t="inlineStr">
        <is>
          <t>Send this to someone who needs to [result].</t>
        </is>
      </c>
    </row>
    <row r="7">
      <c r="A7" s="15" t="n">
        <v>4</v>
      </c>
      <c r="B7" s="16" t="inlineStr">
        <is>
          <t>Follow for part two.</t>
        </is>
      </c>
    </row>
    <row r="8">
      <c r="A8" s="15" t="n">
        <v>5</v>
      </c>
      <c r="B8" s="16" t="inlineStr">
        <is>
          <t>DM me '[keyword]' if you want help with [problem].</t>
        </is>
      </c>
    </row>
    <row r="9">
      <c r="A9" s="15" t="n">
        <v>6</v>
      </c>
      <c r="B9" s="16" t="inlineStr">
        <is>
          <t>Which one are you? Tell me in the comments.</t>
        </is>
      </c>
    </row>
    <row r="10">
      <c r="A10" s="15" t="n">
        <v>7</v>
      </c>
      <c r="B10" s="16" t="inlineStr">
        <is>
          <t>Link in bio to [book / order / get the free guide].</t>
        </is>
      </c>
    </row>
    <row r="11">
      <c r="A11" s="15" t="n">
        <v>8</v>
      </c>
      <c r="B11" s="16" t="inlineStr">
        <is>
          <t>Follow if you're building [type of business] too.</t>
        </is>
      </c>
    </row>
    <row r="12">
      <c r="A12" s="15" t="n">
        <v>9</v>
      </c>
      <c r="B12" s="16" t="inlineStr">
        <is>
          <t>Try this today and tell me how it goes.</t>
        </is>
      </c>
    </row>
    <row r="13">
      <c r="A13" s="15" t="n">
        <v>10</v>
      </c>
      <c r="B13" s="16" t="inlineStr">
        <is>
          <t>I'm taking [a real number] [clients / orders] this week. DM me to grab a spot.</t>
        </is>
      </c>
    </row>
  </sheetData>
  <autoFilter ref="A3:B13"/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5"/>
  <sheetViews>
    <sheetView showGridLines="0" tabSelected="0"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8" customWidth="1" min="4" max="4"/>
  </cols>
  <sheetData>
    <row r="1" ht="26" customHeight="1">
      <c r="A1" s="12" t="inlineStr">
        <is>
          <t>Which hook type wins</t>
        </is>
      </c>
    </row>
    <row r="2">
      <c r="A2" s="13" t="inlineStr">
        <is>
          <t>Run the loop every week: post, wait 48 hours, find the winner, ask why, remix it.</t>
        </is>
      </c>
    </row>
    <row r="4">
      <c r="A4" s="1" t="inlineStr">
        <is>
          <t>BY HOOK TYPE</t>
        </is>
      </c>
      <c r="B4" s="1" t="inlineStr">
        <is>
          <t>Posts</t>
        </is>
      </c>
      <c r="C4" s="1" t="inlineStr">
        <is>
          <t>Avg views</t>
        </is>
      </c>
      <c r="D4" s="1" t="inlineStr">
        <is>
          <t>Avg comments + DMs</t>
        </is>
      </c>
    </row>
    <row r="5">
      <c r="A5" s="22" t="inlineStr">
        <is>
          <t>Story</t>
        </is>
      </c>
      <c r="B5" s="23">
        <f>COUNTIFS('My hooks'!$C$4:$C$63,"Story",'My hooks'!$F$4:$F$63,"&gt;0")</f>
        <v/>
      </c>
      <c r="C5" s="23">
        <f>IFERROR(ROUND(AVERAGEIFS('My hooks'!$F$4:$F$63,'My hooks'!$C$4:$C$63,"Story",'My hooks'!$F$4:$F$63,"&gt;0"),0),"")</f>
        <v/>
      </c>
      <c r="D5" s="23">
        <f>IFERROR(ROUND(AVERAGEIFS('My hooks'!$H$4:$H$63,'My hooks'!$C$4:$C$63,"Story",'My hooks'!$F$4:$F$63,"&gt;0"),0),"")</f>
        <v/>
      </c>
    </row>
    <row r="6">
      <c r="A6" s="22" t="inlineStr">
        <is>
          <t>Mistake</t>
        </is>
      </c>
      <c r="B6" s="23">
        <f>COUNTIFS('My hooks'!$C$4:$C$63,"Mistake",'My hooks'!$F$4:$F$63,"&gt;0")</f>
        <v/>
      </c>
      <c r="C6" s="23">
        <f>IFERROR(ROUND(AVERAGEIFS('My hooks'!$F$4:$F$63,'My hooks'!$C$4:$C$63,"Mistake",'My hooks'!$F$4:$F$63,"&gt;0"),0),"")</f>
        <v/>
      </c>
      <c r="D6" s="23">
        <f>IFERROR(ROUND(AVERAGEIFS('My hooks'!$H$4:$H$63,'My hooks'!$C$4:$C$63,"Mistake",'My hooks'!$F$4:$F$63,"&gt;0"),0),"")</f>
        <v/>
      </c>
    </row>
    <row r="7">
      <c r="A7" s="22" t="inlineStr">
        <is>
          <t>Contrarian</t>
        </is>
      </c>
      <c r="B7" s="23">
        <f>COUNTIFS('My hooks'!$C$4:$C$63,"Contrarian",'My hooks'!$F$4:$F$63,"&gt;0")</f>
        <v/>
      </c>
      <c r="C7" s="23">
        <f>IFERROR(ROUND(AVERAGEIFS('My hooks'!$F$4:$F$63,'My hooks'!$C$4:$C$63,"Contrarian",'My hooks'!$F$4:$F$63,"&gt;0"),0),"")</f>
        <v/>
      </c>
      <c r="D7" s="23">
        <f>IFERROR(ROUND(AVERAGEIFS('My hooks'!$H$4:$H$63,'My hooks'!$C$4:$C$63,"Contrarian",'My hooks'!$F$4:$F$63,"&gt;0"),0),"")</f>
        <v/>
      </c>
    </row>
    <row r="8">
      <c r="A8" s="22" t="inlineStr">
        <is>
          <t>How-to</t>
        </is>
      </c>
      <c r="B8" s="23">
        <f>COUNTIFS('My hooks'!$C$4:$C$63,"How-to",'My hooks'!$F$4:$F$63,"&gt;0")</f>
        <v/>
      </c>
      <c r="C8" s="23">
        <f>IFERROR(ROUND(AVERAGEIFS('My hooks'!$F$4:$F$63,'My hooks'!$C$4:$C$63,"How-to",'My hooks'!$F$4:$F$63,"&gt;0"),0),"")</f>
        <v/>
      </c>
      <c r="D8" s="23">
        <f>IFERROR(ROUND(AVERAGEIFS('My hooks'!$H$4:$H$63,'My hooks'!$C$4:$C$63,"How-to",'My hooks'!$F$4:$F$63,"&gt;0"),0),"")</f>
        <v/>
      </c>
    </row>
    <row r="9">
      <c r="A9" s="22" t="inlineStr">
        <is>
          <t>Result</t>
        </is>
      </c>
      <c r="B9" s="23">
        <f>COUNTIFS('My hooks'!$C$4:$C$63,"Result",'My hooks'!$F$4:$F$63,"&gt;0")</f>
        <v/>
      </c>
      <c r="C9" s="23">
        <f>IFERROR(ROUND(AVERAGEIFS('My hooks'!$F$4:$F$63,'My hooks'!$C$4:$C$63,"Result",'My hooks'!$F$4:$F$63,"&gt;0"),0),"")</f>
        <v/>
      </c>
      <c r="D9" s="23">
        <f>IFERROR(ROUND(AVERAGEIFS('My hooks'!$H$4:$H$63,'My hooks'!$C$4:$C$63,"Result",'My hooks'!$F$4:$F$63,"&gt;0"),0),"")</f>
        <v/>
      </c>
    </row>
    <row r="10">
      <c r="A10" s="22" t="inlineStr">
        <is>
          <t>Behind the scenes</t>
        </is>
      </c>
      <c r="B10" s="23">
        <f>COUNTIFS('My hooks'!$C$4:$C$63,"Behind the scenes",'My hooks'!$F$4:$F$63,"&gt;0")</f>
        <v/>
      </c>
      <c r="C10" s="23">
        <f>IFERROR(ROUND(AVERAGEIFS('My hooks'!$F$4:$F$63,'My hooks'!$C$4:$C$63,"Behind the scenes",'My hooks'!$F$4:$F$63,"&gt;0"),0),"")</f>
        <v/>
      </c>
      <c r="D10" s="23">
        <f>IFERROR(ROUND(AVERAGEIFS('My hooks'!$H$4:$H$63,'My hooks'!$C$4:$C$63,"Behind the scenes",'My hooks'!$F$4:$F$63,"&gt;0"),0),"")</f>
        <v/>
      </c>
    </row>
    <row r="12">
      <c r="A12" s="1" t="inlineStr">
        <is>
          <t>YOUR WINNER</t>
        </is>
      </c>
    </row>
    <row r="13">
      <c r="A13" s="24" t="inlineStr">
        <is>
          <t>Hook type with the best average views</t>
        </is>
      </c>
      <c r="B13" s="25">
        <f>IF(COUNT($C$5:$C$10)=0,"Log some results first",INDEX($A$5:$A$10,MATCH(MAX($C$5:$C$10),$C$5:$C$10,0)))</f>
        <v/>
      </c>
    </row>
    <row r="14">
      <c r="A14" s="24" t="inlineStr">
        <is>
          <t>Hook type that starts the most conversations</t>
        </is>
      </c>
      <c r="B14" s="25">
        <f>IF(COUNT($D$5:$D$10)=0,"",INDEX($A$5:$A$10,MATCH(MAX($D$5:$D$10),$D$5:$D$10,0)))</f>
        <v/>
      </c>
    </row>
    <row r="15">
      <c r="A15" s="22" t="inlineStr">
        <is>
          <t>Best single hook so far</t>
        </is>
      </c>
      <c r="B15" s="26">
        <f>IF(COUNT('My hooks'!$F$4:$F$63)=0,"",INDEX('My hooks'!$A$4:$A$63,MATCH(MAX('My hooks'!$F$4:$F$63),'My hooks'!$F$4:$F$63,0)))</f>
        <v/>
      </c>
    </row>
  </sheetData>
  <pageMargins left="0.75" right="0.75" top="1" bottom="1" header="0.5" footer="0.5"/>
  <pageSetup orientation="portrait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23"/>
  <sheetViews>
    <sheetView showGridLines="0" tabSelected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30" customWidth="1" min="3" max="3"/>
    <col width="30" customWidth="1" min="4" max="4"/>
    <col width="28" customWidth="1" min="5" max="5"/>
    <col width="28" customWidth="1" min="6" max="6"/>
    <col width="28" customWidth="1" min="7" max="7"/>
  </cols>
  <sheetData>
    <row r="1" ht="26" customHeight="1">
      <c r="A1" s="12" t="inlineStr">
        <is>
          <t>Winning post review</t>
        </is>
      </c>
    </row>
    <row r="2" ht="16" customHeight="1">
      <c r="A2" s="13" t="inlineStr">
        <is>
          <t>When a post beats your average, ask why. Then do more of exactly that until it stops working.</t>
        </is>
      </c>
    </row>
    <row r="3" ht="40" customHeight="1">
      <c r="A3" s="14" t="inlineStr">
        <is>
          <t>Winning post (link)</t>
        </is>
      </c>
      <c r="B3" s="14" t="inlineStr">
        <is>
          <t>Hook type</t>
        </is>
      </c>
      <c r="C3" s="14" t="inlineStr">
        <is>
          <t>What it did differently</t>
        </is>
      </c>
      <c r="D3" s="14" t="inlineStr">
        <is>
          <t>Why you think it worked</t>
        </is>
      </c>
      <c r="E3" s="14" t="inlineStr">
        <is>
          <t>Remix 1: same element, new topic</t>
        </is>
      </c>
      <c r="F3" s="14" t="inlineStr">
        <is>
          <t>Remix 2</t>
        </is>
      </c>
      <c r="G3" s="14" t="inlineStr">
        <is>
          <t>Remix 3</t>
        </is>
      </c>
    </row>
    <row r="4">
      <c r="A4" s="15" t="n"/>
      <c r="B4" s="15" t="n"/>
      <c r="C4" s="16" t="n"/>
      <c r="D4" s="16" t="n"/>
      <c r="E4" s="16" t="n"/>
      <c r="F4" s="16" t="n"/>
      <c r="G4" s="16" t="n"/>
    </row>
    <row r="5">
      <c r="A5" s="15" t="n"/>
      <c r="B5" s="15" t="n"/>
      <c r="C5" s="16" t="n"/>
      <c r="D5" s="16" t="n"/>
      <c r="E5" s="16" t="n"/>
      <c r="F5" s="16" t="n"/>
      <c r="G5" s="16" t="n"/>
    </row>
    <row r="6">
      <c r="A6" s="15" t="n"/>
      <c r="B6" s="15" t="n"/>
      <c r="C6" s="16" t="n"/>
      <c r="D6" s="16" t="n"/>
      <c r="E6" s="16" t="n"/>
      <c r="F6" s="16" t="n"/>
      <c r="G6" s="16" t="n"/>
    </row>
    <row r="7">
      <c r="A7" s="15" t="n"/>
      <c r="B7" s="15" t="n"/>
      <c r="C7" s="16" t="n"/>
      <c r="D7" s="16" t="n"/>
      <c r="E7" s="16" t="n"/>
      <c r="F7" s="16" t="n"/>
      <c r="G7" s="16" t="n"/>
    </row>
    <row r="8">
      <c r="A8" s="15" t="n"/>
      <c r="B8" s="15" t="n"/>
      <c r="C8" s="16" t="n"/>
      <c r="D8" s="16" t="n"/>
      <c r="E8" s="16" t="n"/>
      <c r="F8" s="16" t="n"/>
      <c r="G8" s="16" t="n"/>
    </row>
    <row r="9">
      <c r="A9" s="15" t="n"/>
      <c r="B9" s="15" t="n"/>
      <c r="C9" s="16" t="n"/>
      <c r="D9" s="16" t="n"/>
      <c r="E9" s="16" t="n"/>
      <c r="F9" s="16" t="n"/>
      <c r="G9" s="16" t="n"/>
    </row>
    <row r="10">
      <c r="A10" s="15" t="n"/>
      <c r="B10" s="15" t="n"/>
      <c r="C10" s="16" t="n"/>
      <c r="D10" s="16" t="n"/>
      <c r="E10" s="16" t="n"/>
      <c r="F10" s="16" t="n"/>
      <c r="G10" s="16" t="n"/>
    </row>
    <row r="11">
      <c r="A11" s="15" t="n"/>
      <c r="B11" s="15" t="n"/>
      <c r="C11" s="16" t="n"/>
      <c r="D11" s="16" t="n"/>
      <c r="E11" s="16" t="n"/>
      <c r="F11" s="16" t="n"/>
      <c r="G11" s="16" t="n"/>
    </row>
    <row r="12">
      <c r="A12" s="15" t="n"/>
      <c r="B12" s="15" t="n"/>
      <c r="C12" s="16" t="n"/>
      <c r="D12" s="16" t="n"/>
      <c r="E12" s="16" t="n"/>
      <c r="F12" s="16" t="n"/>
      <c r="G12" s="16" t="n"/>
    </row>
    <row r="13">
      <c r="A13" s="15" t="n"/>
      <c r="B13" s="15" t="n"/>
      <c r="C13" s="16" t="n"/>
      <c r="D13" s="16" t="n"/>
      <c r="E13" s="16" t="n"/>
      <c r="F13" s="16" t="n"/>
      <c r="G13" s="16" t="n"/>
    </row>
    <row r="14">
      <c r="A14" s="15" t="n"/>
      <c r="B14" s="15" t="n"/>
      <c r="C14" s="16" t="n"/>
      <c r="D14" s="16" t="n"/>
      <c r="E14" s="16" t="n"/>
      <c r="F14" s="16" t="n"/>
      <c r="G14" s="16" t="n"/>
    </row>
    <row r="15">
      <c r="A15" s="15" t="n"/>
      <c r="B15" s="15" t="n"/>
      <c r="C15" s="16" t="n"/>
      <c r="D15" s="16" t="n"/>
      <c r="E15" s="16" t="n"/>
      <c r="F15" s="16" t="n"/>
      <c r="G15" s="16" t="n"/>
    </row>
    <row r="16">
      <c r="A16" s="15" t="n"/>
      <c r="B16" s="15" t="n"/>
      <c r="C16" s="16" t="n"/>
      <c r="D16" s="16" t="n"/>
      <c r="E16" s="16" t="n"/>
      <c r="F16" s="16" t="n"/>
      <c r="G16" s="16" t="n"/>
    </row>
    <row r="17">
      <c r="A17" s="15" t="n"/>
      <c r="B17" s="15" t="n"/>
      <c r="C17" s="16" t="n"/>
      <c r="D17" s="16" t="n"/>
      <c r="E17" s="16" t="n"/>
      <c r="F17" s="16" t="n"/>
      <c r="G17" s="16" t="n"/>
    </row>
    <row r="18">
      <c r="A18" s="15" t="n"/>
      <c r="B18" s="15" t="n"/>
      <c r="C18" s="16" t="n"/>
      <c r="D18" s="16" t="n"/>
      <c r="E18" s="16" t="n"/>
      <c r="F18" s="16" t="n"/>
      <c r="G18" s="16" t="n"/>
    </row>
    <row r="19">
      <c r="A19" s="15" t="n"/>
      <c r="B19" s="15" t="n"/>
      <c r="C19" s="16" t="n"/>
      <c r="D19" s="16" t="n"/>
      <c r="E19" s="16" t="n"/>
      <c r="F19" s="16" t="n"/>
      <c r="G19" s="16" t="n"/>
    </row>
    <row r="20">
      <c r="A20" s="15" t="n"/>
      <c r="B20" s="15" t="n"/>
      <c r="C20" s="16" t="n"/>
      <c r="D20" s="16" t="n"/>
      <c r="E20" s="16" t="n"/>
      <c r="F20" s="16" t="n"/>
      <c r="G20" s="16" t="n"/>
    </row>
    <row r="21">
      <c r="A21" s="15" t="n"/>
      <c r="B21" s="15" t="n"/>
      <c r="C21" s="16" t="n"/>
      <c r="D21" s="16" t="n"/>
      <c r="E21" s="16" t="n"/>
      <c r="F21" s="16" t="n"/>
      <c r="G21" s="16" t="n"/>
    </row>
    <row r="22">
      <c r="A22" s="15" t="n"/>
      <c r="B22" s="15" t="n"/>
      <c r="C22" s="16" t="n"/>
      <c r="D22" s="16" t="n"/>
      <c r="E22" s="16" t="n"/>
      <c r="F22" s="16" t="n"/>
      <c r="G22" s="16" t="n"/>
    </row>
    <row r="23">
      <c r="A23" s="15" t="n"/>
      <c r="B23" s="15" t="n"/>
      <c r="C23" s="16" t="n"/>
      <c r="D23" s="16" t="n"/>
      <c r="E23" s="16" t="n"/>
      <c r="F23" s="16" t="n"/>
      <c r="G23" s="16" t="n"/>
    </row>
  </sheetData>
  <autoFilter ref="A3:G23"/>
  <dataValidations count="1">
    <dataValidation sqref="B4:B23" showDropDown="0" showInputMessage="0" showErrorMessage="0" allowBlank="1" type="list">
      <formula1>"Story,Mistake,Contrarian,How-to,Result,Behind the scenes"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127</dc:creator>
  <dc:title xmlns:dc="http://purl.org/dc/elements/1.1/">Hook Bank</dc:title>
  <dcterms:created xmlns:dcterms="http://purl.org/dc/terms/" xmlns:xsi="http://www.w3.org/2001/XMLSchema-instance" xsi:type="dcterms:W3CDTF">2026-10-16T10:29:42Z</dcterms:created>
  <dcterms:modified xmlns:dcterms="http://purl.org/dc/terms/" xmlns:xsi="http://www.w3.org/2001/XMLSchema-instance" xsi:type="dcterms:W3CDTF">2026-10-16T10:29:42Z</dcterms:modified>
</cp:coreProperties>
</file>