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Decision" sheetId="3" state="visible" r:id="rId3"/>
  </sheets>
  <definedNames>
    <definedName name="_xlnm._FilterDatabase" localSheetId="1" hidden="1">'Scorecard'!$A$3:$N$11</definedName>
    <definedName name="_xlnm.Print_Titles" localSheetId="1">'Scorecard'!$3:$3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3" fontId="5" fillId="2" borderId="1" applyAlignment="1" pivotButton="0" quotePrefix="0" xfId="0">
      <alignment vertical="top"/>
    </xf>
    <xf numFmtId="164" fontId="5" fillId="2" borderId="1" applyAlignment="1" pivotButton="0" quotePrefix="0" xfId="0">
      <alignment vertical="top"/>
    </xf>
    <xf numFmtId="0" fontId="8" fillId="4" borderId="1" applyAlignment="1" pivotButton="0" quotePrefix="0" xfId="0">
      <alignment vertical="top"/>
    </xf>
    <xf numFmtId="0" fontId="13" fillId="3" borderId="1" applyAlignment="1" pivotButton="0" quotePrefix="0" xfId="0">
      <alignment vertical="top"/>
    </xf>
    <xf numFmtId="0" fontId="13" fillId="3" borderId="1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BE3DE"/>
          <bgColor rgb="00FBE3DE"/>
        </patternFill>
      </fill>
    </dxf>
    <dxf>
      <fill>
        <patternFill patternType="solid">
          <fgColor rgb="00DDF3E7"/>
          <bgColor rgb="00DDF3E7"/>
        </patternFill>
      </fill>
    </dxf>
    <dxf>
      <font>
        <name val="Arial"/>
        <b val="1"/>
      </font>
      <fill>
        <patternFill patternType="solid">
          <fgColor rgb="00ECEEFB"/>
          <bgColor rgb="00ECEEFB"/>
        </patternFill>
      </fill>
    </dxf>
    <dxf>
      <fill>
        <patternFill patternType="solid">
          <fgColor rgb="00FFF3D6"/>
          <bgColor rgb="00FFF3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127</author>
  </authors>
  <commentList>
    <comment ref="B3" authorId="0" shapeId="0">
      <text>
        <t>One sentence. "Math tutoring for high schoolers in my town" is perfect.</t>
      </text>
    </comment>
    <comment ref="C3" authorId="0" shapeId="0">
      <text>
        <t>Proof: people already paying someone, searching, complaining or hacking their own fix.</t>
      </text>
    </comment>
    <comment ref="E3" authorId="0" shapeId="0">
      <text>
        <t>Could one sale make money after costs? Can you reach buyers through an easy channel?</t>
      </text>
    </comment>
    <comment ref="F3" authorId="0" shapeId="0">
      <text>
        <t>Faster, cheaper, higher quality or a better supply chain. "I care more" does not count.</t>
      </text>
    </comment>
    <comment ref="H3" authorId="0" shapeId="0">
      <text>
        <t>Someone who lived the problem or works inside the industry.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START TRACK  ·  FREE</t>
        </is>
      </c>
    </row>
    <row r="3" ht="34" customHeight="1">
      <c r="B3" s="2" t="inlineStr">
        <is>
          <t>Idea Scorecard</t>
        </is>
      </c>
    </row>
    <row r="4" ht="30" customHeight="1">
      <c r="B4" s="3" t="inlineStr">
        <is>
          <t>Score up to eight ideas against Eli's Idea Test in one sitting, see the winner, and use the tie breakers when two ideas are close.</t>
        </is>
      </c>
    </row>
    <row r="6">
      <c r="B6" s="1" t="inlineStr">
        <is>
          <t>HOW TO USE IT</t>
        </is>
      </c>
    </row>
    <row r="7" ht="16" customHeight="1">
      <c r="B7" s="4" t="inlineStr">
        <is>
          <t>1.  List up to eight ideas in the Scorecard tab. One sentence each: what you sell and to whom.</t>
        </is>
      </c>
    </row>
    <row r="8" ht="32" customHeight="1">
      <c r="B8" s="4" t="inlineStr">
        <is>
          <t>2.  Score each question 1 to 5. 1 = no, or no proof. 3 = maybe, some signs. 5 = yes, with proof you can point to.</t>
        </is>
      </c>
    </row>
    <row r="9" ht="32" customHeight="1">
      <c r="B9" s="4" t="inlineStr">
        <is>
          <t>3.  Write the proof for question 1. No proof means the score can't go above 2. The sheet flags it.</t>
        </is>
      </c>
    </row>
    <row r="10" ht="16" customHeight="1">
      <c r="B10" s="4" t="inlineStr">
        <is>
          <t>4.  Fill days to first sale and cost to start. They break ties.</t>
        </is>
      </c>
    </row>
    <row r="11" ht="16" customHeight="1">
      <c r="B11" s="4" t="inlineStr">
        <is>
          <t>5.  Read the Decision tab. If two ideas are within 3 points, use the tie breakers in order.</t>
        </is>
      </c>
    </row>
    <row r="12" ht="16" customHeight="1">
      <c r="B12" s="4" t="inlineStr">
        <is>
          <t>6.  Write your decision and the insider you'll talk to this week. Then stop scoring and start.</t>
        </is>
      </c>
    </row>
    <row r="14">
      <c r="B14" s="1" t="inlineStr">
        <is>
          <t>CELL COLORS</t>
        </is>
      </c>
    </row>
    <row r="15">
      <c r="B15" s="5" t="inlineStr">
        <is>
          <t>White cells: you type here.</t>
        </is>
      </c>
    </row>
    <row r="16">
      <c r="B16" s="6" t="inlineStr">
        <is>
          <t>Grey cells: calculated for you. Leave them alone.</t>
        </is>
      </c>
    </row>
    <row r="17">
      <c r="B17" s="7" t="inlineStr">
        <is>
          <t>Lilac cells: the answer you came for.</t>
        </is>
      </c>
    </row>
    <row r="19">
      <c r="B19" s="1" t="inlineStr">
        <is>
          <t>OPEN IT ANYWHERE</t>
        </is>
      </c>
    </row>
    <row r="20" ht="30" customHeight="1">
      <c r="B20" s="8" t="inlineStr">
        <is>
          <t>Google Sheets: go to sheets.new, then File &gt; Import &gt; Upload this file &gt; Replace spreadsheet. Formulas and dropdowns come with it.</t>
        </is>
      </c>
    </row>
    <row r="21" ht="15" customHeight="1">
      <c r="B21" s="8" t="inlineStr">
        <is>
          <t>Excel: double-click the file. Numbers on a Mac: open it with Numbers.</t>
        </is>
      </c>
    </row>
    <row r="22" ht="15" customHeight="1">
      <c r="B22" s="8" t="inlineStr">
        <is>
          <t>Phone: upload it to Google Drive, then open it in the Google Sheets app.</t>
        </is>
      </c>
    </row>
    <row r="24" ht="15" customHeight="1">
      <c r="B24" s="9" t="inlineStr">
        <is>
          <t>Nobody sees this but you. A flattering score helps nobody.</t>
        </is>
      </c>
    </row>
    <row r="26">
      <c r="B26" s="10" t="inlineStr">
        <is>
          <t>Make today day one.  ·  127group.io</t>
        </is>
      </c>
    </row>
    <row r="27">
      <c r="B27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1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1" customWidth="1" min="3" max="3"/>
    <col width="30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0" customWidth="1" min="11" max="11"/>
    <col width="9" customWidth="1" min="12" max="12"/>
    <col width="7" customWidth="1" min="13" max="13"/>
    <col width="30" customWidth="1" min="14" max="14"/>
  </cols>
  <sheetData>
    <row r="1" ht="26" customHeight="1">
      <c r="A1" s="12" t="inlineStr">
        <is>
          <t>Idea Scorecard</t>
        </is>
      </c>
    </row>
    <row r="2" ht="16" customHeight="1">
      <c r="A2" s="13" t="inlineStr">
        <is>
          <t>Score fast. Your first honest answer is usually right. Grey columns calculate themselves.</t>
        </is>
      </c>
    </row>
    <row r="3" ht="40" customHeight="1">
      <c r="A3" s="14" t="inlineStr">
        <is>
          <t>#</t>
        </is>
      </c>
      <c r="B3" s="14" t="inlineStr">
        <is>
          <t>Idea: what you sell, to whom</t>
        </is>
      </c>
      <c r="C3" s="14" t="inlineStr">
        <is>
          <t>Q1  People pay to solve it? (1-5)</t>
        </is>
      </c>
      <c r="D3" s="14" t="inlineStr">
        <is>
          <t>Proof for Q1 (a person, post, competitor or price)</t>
        </is>
      </c>
      <c r="E3" s="14" t="inlineStr">
        <is>
          <t>Q2  Economics + channels work? (1-5)</t>
        </is>
      </c>
      <c r="F3" s="14" t="inlineStr">
        <is>
          <t>Q3  Differentiator you can back up? (1-5)</t>
        </is>
      </c>
      <c r="G3" s="14" t="inlineStr">
        <is>
          <t>Q4  Market growing, AI helps not replaces? (1-5)</t>
        </is>
      </c>
      <c r="H3" s="14" t="inlineStr">
        <is>
          <t>Q5  Talked to an insider? (1-5)</t>
        </is>
      </c>
      <c r="I3" s="14" t="inlineStr">
        <is>
          <t>Q6  Still care in 2 years? (1-5)</t>
        </is>
      </c>
      <c r="J3" s="14" t="inlineStr">
        <is>
          <t>Days to first paying customer (guess)</t>
        </is>
      </c>
      <c r="K3" s="14" t="inlineStr">
        <is>
          <t>Cost to start ($)</t>
        </is>
      </c>
      <c r="L3" s="15" t="inlineStr">
        <is>
          <t>Total (out of 30)</t>
        </is>
      </c>
      <c r="M3" s="15" t="inlineStr">
        <is>
          <t>Rank</t>
        </is>
      </c>
      <c r="N3" s="15" t="inlineStr">
        <is>
          <t>Check</t>
        </is>
      </c>
    </row>
    <row r="4" ht="32" customHeight="1">
      <c r="A4" s="16" t="n">
        <v>1</v>
      </c>
      <c r="B4" s="17" t="n"/>
      <c r="C4" s="16" t="n"/>
      <c r="D4" s="17" t="n"/>
      <c r="E4" s="16" t="n"/>
      <c r="F4" s="16" t="n"/>
      <c r="G4" s="16" t="n"/>
      <c r="H4" s="16" t="n"/>
      <c r="I4" s="16" t="n"/>
      <c r="J4" s="18" t="n"/>
      <c r="K4" s="19" t="n"/>
      <c r="L4" s="20">
        <f>IF(COUNT(C4,E4,F4,G4,H4,I4)=0,"",SUM(C4,E4,F4,G4,H4,I4))</f>
        <v/>
      </c>
      <c r="M4" s="21">
        <f>IF(L4="","",COUNTIF($L$4:$L$11,"&gt;"&amp;L4)+1)</f>
        <v/>
      </c>
      <c r="N4" s="22">
        <f>IF(B4="","",IF(AND(C4&gt;2,LEN(D4)=0),"Add proof for Q1 or score it 2",IF(AND(C4&lt;&gt;"",C4&lt;=2),"Weak on Q1: proof people pay beats everything",IF(COUNT(C4,E4,F4,G4,H4,I4)&lt;6,"Finish scoring",IF(M4=1,"Leading idea","")))))</f>
        <v/>
      </c>
    </row>
    <row r="5" ht="32" customHeight="1">
      <c r="A5" s="16" t="n">
        <v>2</v>
      </c>
      <c r="B5" s="17" t="n"/>
      <c r="C5" s="16" t="n"/>
      <c r="D5" s="17" t="n"/>
      <c r="E5" s="16" t="n"/>
      <c r="F5" s="16" t="n"/>
      <c r="G5" s="16" t="n"/>
      <c r="H5" s="16" t="n"/>
      <c r="I5" s="16" t="n"/>
      <c r="J5" s="18" t="n"/>
      <c r="K5" s="19" t="n"/>
      <c r="L5" s="20">
        <f>IF(COUNT(C5,E5,F5,G5,H5,I5)=0,"",SUM(C5,E5,F5,G5,H5,I5))</f>
        <v/>
      </c>
      <c r="M5" s="21">
        <f>IF(L5="","",COUNTIF($L$4:$L$11,"&gt;"&amp;L5)+1)</f>
        <v/>
      </c>
      <c r="N5" s="22">
        <f>IF(B5="","",IF(AND(C5&gt;2,LEN(D5)=0),"Add proof for Q1 or score it 2",IF(AND(C5&lt;&gt;"",C5&lt;=2),"Weak on Q1: proof people pay beats everything",IF(COUNT(C5,E5,F5,G5,H5,I5)&lt;6,"Finish scoring",IF(M5=1,"Leading idea","")))))</f>
        <v/>
      </c>
    </row>
    <row r="6" ht="32" customHeight="1">
      <c r="A6" s="16" t="n">
        <v>3</v>
      </c>
      <c r="B6" s="17" t="n"/>
      <c r="C6" s="16" t="n"/>
      <c r="D6" s="17" t="n"/>
      <c r="E6" s="16" t="n"/>
      <c r="F6" s="16" t="n"/>
      <c r="G6" s="16" t="n"/>
      <c r="H6" s="16" t="n"/>
      <c r="I6" s="16" t="n"/>
      <c r="J6" s="18" t="n"/>
      <c r="K6" s="19" t="n"/>
      <c r="L6" s="20">
        <f>IF(COUNT(C6,E6,F6,G6,H6,I6)=0,"",SUM(C6,E6,F6,G6,H6,I6))</f>
        <v/>
      </c>
      <c r="M6" s="21">
        <f>IF(L6="","",COUNTIF($L$4:$L$11,"&gt;"&amp;L6)+1)</f>
        <v/>
      </c>
      <c r="N6" s="22">
        <f>IF(B6="","",IF(AND(C6&gt;2,LEN(D6)=0),"Add proof for Q1 or score it 2",IF(AND(C6&lt;&gt;"",C6&lt;=2),"Weak on Q1: proof people pay beats everything",IF(COUNT(C6,E6,F6,G6,H6,I6)&lt;6,"Finish scoring",IF(M6=1,"Leading idea","")))))</f>
        <v/>
      </c>
    </row>
    <row r="7" ht="32" customHeight="1">
      <c r="A7" s="16" t="n">
        <v>4</v>
      </c>
      <c r="B7" s="17" t="n"/>
      <c r="C7" s="16" t="n"/>
      <c r="D7" s="17" t="n"/>
      <c r="E7" s="16" t="n"/>
      <c r="F7" s="16" t="n"/>
      <c r="G7" s="16" t="n"/>
      <c r="H7" s="16" t="n"/>
      <c r="I7" s="16" t="n"/>
      <c r="J7" s="18" t="n"/>
      <c r="K7" s="19" t="n"/>
      <c r="L7" s="20">
        <f>IF(COUNT(C7,E7,F7,G7,H7,I7)=0,"",SUM(C7,E7,F7,G7,H7,I7))</f>
        <v/>
      </c>
      <c r="M7" s="21">
        <f>IF(L7="","",COUNTIF($L$4:$L$11,"&gt;"&amp;L7)+1)</f>
        <v/>
      </c>
      <c r="N7" s="22">
        <f>IF(B7="","",IF(AND(C7&gt;2,LEN(D7)=0),"Add proof for Q1 or score it 2",IF(AND(C7&lt;&gt;"",C7&lt;=2),"Weak on Q1: proof people pay beats everything",IF(COUNT(C7,E7,F7,G7,H7,I7)&lt;6,"Finish scoring",IF(M7=1,"Leading idea","")))))</f>
        <v/>
      </c>
    </row>
    <row r="8" ht="32" customHeight="1">
      <c r="A8" s="16" t="n">
        <v>5</v>
      </c>
      <c r="B8" s="17" t="n"/>
      <c r="C8" s="16" t="n"/>
      <c r="D8" s="17" t="n"/>
      <c r="E8" s="16" t="n"/>
      <c r="F8" s="16" t="n"/>
      <c r="G8" s="16" t="n"/>
      <c r="H8" s="16" t="n"/>
      <c r="I8" s="16" t="n"/>
      <c r="J8" s="18" t="n"/>
      <c r="K8" s="19" t="n"/>
      <c r="L8" s="20">
        <f>IF(COUNT(C8,E8,F8,G8,H8,I8)=0,"",SUM(C8,E8,F8,G8,H8,I8))</f>
        <v/>
      </c>
      <c r="M8" s="21">
        <f>IF(L8="","",COUNTIF($L$4:$L$11,"&gt;"&amp;L8)+1)</f>
        <v/>
      </c>
      <c r="N8" s="22">
        <f>IF(B8="","",IF(AND(C8&gt;2,LEN(D8)=0),"Add proof for Q1 or score it 2",IF(AND(C8&lt;&gt;"",C8&lt;=2),"Weak on Q1: proof people pay beats everything",IF(COUNT(C8,E8,F8,G8,H8,I8)&lt;6,"Finish scoring",IF(M8=1,"Leading idea","")))))</f>
        <v/>
      </c>
    </row>
    <row r="9" ht="32" customHeight="1">
      <c r="A9" s="16" t="n">
        <v>6</v>
      </c>
      <c r="B9" s="17" t="n"/>
      <c r="C9" s="16" t="n"/>
      <c r="D9" s="17" t="n"/>
      <c r="E9" s="16" t="n"/>
      <c r="F9" s="16" t="n"/>
      <c r="G9" s="16" t="n"/>
      <c r="H9" s="16" t="n"/>
      <c r="I9" s="16" t="n"/>
      <c r="J9" s="18" t="n"/>
      <c r="K9" s="19" t="n"/>
      <c r="L9" s="20">
        <f>IF(COUNT(C9,E9,F9,G9,H9,I9)=0,"",SUM(C9,E9,F9,G9,H9,I9))</f>
        <v/>
      </c>
      <c r="M9" s="21">
        <f>IF(L9="","",COUNTIF($L$4:$L$11,"&gt;"&amp;L9)+1)</f>
        <v/>
      </c>
      <c r="N9" s="22">
        <f>IF(B9="","",IF(AND(C9&gt;2,LEN(D9)=0),"Add proof for Q1 or score it 2",IF(AND(C9&lt;&gt;"",C9&lt;=2),"Weak on Q1: proof people pay beats everything",IF(COUNT(C9,E9,F9,G9,H9,I9)&lt;6,"Finish scoring",IF(M9=1,"Leading idea","")))))</f>
        <v/>
      </c>
    </row>
    <row r="10" ht="32" customHeight="1">
      <c r="A10" s="16" t="n">
        <v>7</v>
      </c>
      <c r="B10" s="17" t="n"/>
      <c r="C10" s="16" t="n"/>
      <c r="D10" s="17" t="n"/>
      <c r="E10" s="16" t="n"/>
      <c r="F10" s="16" t="n"/>
      <c r="G10" s="16" t="n"/>
      <c r="H10" s="16" t="n"/>
      <c r="I10" s="16" t="n"/>
      <c r="J10" s="18" t="n"/>
      <c r="K10" s="19" t="n"/>
      <c r="L10" s="20">
        <f>IF(COUNT(C10,E10,F10,G10,H10,I10)=0,"",SUM(C10,E10,F10,G10,H10,I10))</f>
        <v/>
      </c>
      <c r="M10" s="21">
        <f>IF(L10="","",COUNTIF($L$4:$L$11,"&gt;"&amp;L10)+1)</f>
        <v/>
      </c>
      <c r="N10" s="22">
        <f>IF(B10="","",IF(AND(C10&gt;2,LEN(D10)=0),"Add proof for Q1 or score it 2",IF(AND(C10&lt;&gt;"",C10&lt;=2),"Weak on Q1: proof people pay beats everything",IF(COUNT(C10,E10,F10,G10,H10,I10)&lt;6,"Finish scoring",IF(M10=1,"Leading idea","")))))</f>
        <v/>
      </c>
    </row>
    <row r="11" ht="32" customHeight="1">
      <c r="A11" s="16" t="n">
        <v>8</v>
      </c>
      <c r="B11" s="17" t="n"/>
      <c r="C11" s="16" t="n"/>
      <c r="D11" s="17" t="n"/>
      <c r="E11" s="16" t="n"/>
      <c r="F11" s="16" t="n"/>
      <c r="G11" s="16" t="n"/>
      <c r="H11" s="16" t="n"/>
      <c r="I11" s="16" t="n"/>
      <c r="J11" s="18" t="n"/>
      <c r="K11" s="19" t="n"/>
      <c r="L11" s="20">
        <f>IF(COUNT(C11,E11,F11,G11,H11,I11)=0,"",SUM(C11,E11,F11,G11,H11,I11))</f>
        <v/>
      </c>
      <c r="M11" s="21">
        <f>IF(L11="","",COUNTIF($L$4:$L$11,"&gt;"&amp;L11)+1)</f>
        <v/>
      </c>
      <c r="N11" s="22">
        <f>IF(B11="","",IF(AND(C11&gt;2,LEN(D11)=0),"Add proof for Q1 or score it 2",IF(AND(C11&lt;&gt;"",C11&lt;=2),"Weak on Q1: proof people pay beats everything",IF(COUNT(C11,E11,F11,G11,H11,I11)&lt;6,"Finish scoring",IF(M11=1,"Leading idea","")))))</f>
        <v/>
      </c>
    </row>
  </sheetData>
  <autoFilter ref="A3:N11"/>
  <conditionalFormatting sqref="C4:C11 E4:E11 F4:F11 G4:G11 H4:H11 I4:I11">
    <cfRule type="expression" priority="1" dxfId="0" stopIfTrue="0">
      <formula>AND(ISNUMBER(C4),C4&lt;=2)</formula>
    </cfRule>
    <cfRule type="expression" priority="2" dxfId="1" stopIfTrue="0">
      <formula>AND(ISNUMBER(C4),C4&gt;=4)</formula>
    </cfRule>
  </conditionalFormatting>
  <conditionalFormatting sqref="B4:B11 L4:L11 M4:M11">
    <cfRule type="expression" priority="3" dxfId="2" stopIfTrue="0">
      <formula>AND($M4&lt;&gt;"",$M4=1)</formula>
    </cfRule>
  </conditionalFormatting>
  <conditionalFormatting sqref="N4:N11">
    <cfRule type="expression" priority="4" dxfId="3" stopIfTrue="0">
      <formula>LEFT($N4,3)="Add"</formula>
    </cfRule>
  </conditionalFormatting>
  <dataValidations count="6">
    <dataValidation sqref="C4:C11" showDropDown="0" showInputMessage="0" showErrorMessage="0" allowBlank="1" type="list">
      <formula1>"1,2,3,4,5"</formula1>
    </dataValidation>
    <dataValidation sqref="E4:E11" showDropDown="0" showInputMessage="0" showErrorMessage="0" allowBlank="1" type="list">
      <formula1>"1,2,3,4,5"</formula1>
    </dataValidation>
    <dataValidation sqref="F4:F11" showDropDown="0" showInputMessage="0" showErrorMessage="0" allowBlank="1" type="list">
      <formula1>"1,2,3,4,5"</formula1>
    </dataValidation>
    <dataValidation sqref="G4:G11" showDropDown="0" showInputMessage="0" showErrorMessage="0" allowBlank="1" type="list">
      <formula1>"1,2,3,4,5"</formula1>
    </dataValidation>
    <dataValidation sqref="H4:H11" showDropDown="0" showInputMessage="0" showErrorMessage="0" allowBlank="1" type="list">
      <formula1>"1,2,3,4,5"</formula1>
    </dataValidation>
    <dataValidation sqref="I4:I11" showDropDown="0" showInputMessage="0" showErrorMessage="0" allowBlank="1" type="list">
      <formula1>"1,2,3,4,5"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tabSelected="0" workbookViewId="0">
      <selection activeCell="A1" sqref="A1"/>
    </sheetView>
  </sheetViews>
  <sheetFormatPr baseColWidth="8" defaultRowHeight="15"/>
  <cols>
    <col width="58" customWidth="1" min="1" max="1"/>
    <col width="60" customWidth="1" min="2" max="2"/>
  </cols>
  <sheetData>
    <row r="1" ht="26" customHeight="1">
      <c r="A1" s="12" t="inlineStr">
        <is>
          <t>Your decision</t>
        </is>
      </c>
    </row>
    <row r="2">
      <c r="A2" s="13" t="inlineStr">
        <is>
          <t>The sheet finds the leader. You make the call, then go talk to an insider.</t>
        </is>
      </c>
    </row>
    <row r="4">
      <c r="A4" s="1" t="inlineStr">
        <is>
          <t>THE LEADER</t>
        </is>
      </c>
    </row>
    <row r="5">
      <c r="A5" s="23" t="inlineStr">
        <is>
          <t>Leading idea</t>
        </is>
      </c>
      <c r="B5" s="24">
        <f>IF(COUNT('Scorecard'!$L$4:$L$11)=0,"Score your ideas first",INDEX('Scorecard'!$B$4:$B$11,MATCH(MAX('Scorecard'!$L$4:$L$11),'Scorecard'!$L$4:$L$11,0)))</f>
        <v/>
      </c>
    </row>
    <row r="6">
      <c r="A6" s="25" t="inlineStr">
        <is>
          <t>Its score (out of 30)</t>
        </is>
      </c>
      <c r="B6" s="26">
        <f>IF(COUNT('Scorecard'!$L$4:$L$11)=0,"",MAX('Scorecard'!$L$4:$L$11))</f>
        <v/>
      </c>
    </row>
    <row r="7">
      <c r="A7" s="25" t="inlineStr">
        <is>
          <t>Runner-up score</t>
        </is>
      </c>
      <c r="B7" s="26">
        <f>IF(COUNT('Scorecard'!$L$4:$L$11)&lt;2,"",LARGE('Scorecard'!$L$4:$L$11,2))</f>
        <v/>
      </c>
    </row>
    <row r="8">
      <c r="A8" s="25" t="inlineStr">
        <is>
          <t>Close call?</t>
        </is>
      </c>
      <c r="B8" s="26">
        <f>IF($B$7="","",IF($B$6-$B$7&lt;=3,"Within 3 points. Use the tie breakers below.","Clear winner. Go with it."))</f>
        <v/>
      </c>
    </row>
    <row r="10">
      <c r="A10" s="1" t="inlineStr">
        <is>
          <t>TIE BREAKERS, IN ORDER (STOP AT THE FIRST ONE THAT SEPARATES THEM)</t>
        </is>
      </c>
    </row>
    <row r="11">
      <c r="A11" s="25" t="inlineStr">
        <is>
          <t>1. Higher score on Q1 wins. Proof that people pay beats everything.</t>
        </is>
      </c>
      <c r="B11" s="26">
        <f>"Check Q1 in the Scorecard"</f>
        <v/>
      </c>
    </row>
    <row r="12">
      <c r="A12" s="25" t="inlineStr">
        <is>
          <t>2. Shortest path to a first paying customer wins.</t>
        </is>
      </c>
      <c r="B12" s="26">
        <f>IF(COUNT('Scorecard'!$J$4:$J$11)=0,"Fill days to first customer",INDEX('Scorecard'!$B$4:$B$11,MATCH(MIN('Scorecard'!$J$4:$J$11),'Scorecard'!$J$4:$J$11,0)))</f>
        <v/>
      </c>
    </row>
    <row r="13">
      <c r="A13" s="25" t="inlineStr">
        <is>
          <t>3. Lowest cost to start wins.</t>
        </is>
      </c>
      <c r="B13" s="26">
        <f>IF(COUNT('Scorecard'!$K$4:$K$11)=0,"Fill cost to start",INDEX('Scorecard'!$B$4:$B$11,MATCH(MIN('Scorecard'!$K$4:$K$11),'Scorecard'!$K$4:$K$11,0)))</f>
        <v/>
      </c>
    </row>
    <row r="14">
      <c r="A14" s="25" t="inlineStr">
        <is>
          <t>4. The one where you already know an insider wins.</t>
        </is>
      </c>
      <c r="B14" s="26">
        <f>"Check Q5 in the Scorecard"</f>
        <v/>
      </c>
    </row>
    <row r="15">
      <c r="A15" s="25" t="inlineStr">
        <is>
          <t>5. Still tied? Flip a coin. If you feel disappointed, pick the other one.</t>
        </is>
      </c>
      <c r="B15" s="26">
        <f>"Then stop thinking and start."</f>
        <v/>
      </c>
    </row>
    <row r="17">
      <c r="A17" s="1" t="inlineStr">
        <is>
          <t>YOUR OUTPUT</t>
        </is>
      </c>
    </row>
    <row r="18" ht="32" customHeight="1">
      <c r="A18" s="25" t="inlineStr">
        <is>
          <t>The idea you chose (what you sell, to whom)</t>
        </is>
      </c>
      <c r="B18" s="17" t="n"/>
    </row>
    <row r="19" ht="44" customHeight="1">
      <c r="A19" s="25" t="inlineStr">
        <is>
          <t>Why it won (score, and the tie breaker if you used one)</t>
        </is>
      </c>
      <c r="B19" s="17" t="n"/>
    </row>
    <row r="20" ht="44" customHeight="1">
      <c r="A20" s="25" t="inlineStr">
        <is>
          <t>Proof you have so far</t>
        </is>
      </c>
      <c r="B20" s="17" t="n"/>
    </row>
    <row r="21" ht="32" customHeight="1">
      <c r="A21" s="25" t="inlineStr">
        <is>
          <t>The insider you will talk to this week, and when</t>
        </is>
      </c>
      <c r="B21" s="17" t="n"/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Idea Scorecard</dc:title>
  <dcterms:created xmlns:dcterms="http://purl.org/dc/terms/" xmlns:xsi="http://www.w3.org/2001/XMLSchema-instance" xsi:type="dcterms:W3CDTF">2026-10-16T10:26:11Z</dcterms:created>
  <dcterms:modified xmlns:dcterms="http://purl.org/dc/terms/" xmlns:xsi="http://www.w3.org/2001/XMLSchema-instance" xsi:type="dcterms:W3CDTF">2026-10-16T10:26:12Z</dcterms:modified>
</cp:coreProperties>
</file>