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tock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'Stock'!$A$3:$N$63</definedName>
    <definedName name="_xlnm.Print_Titles" localSheetId="1">'Stock'!$3:$3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.00"/>
    <numFmt numFmtId="166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3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165" fontId="5" fillId="2" borderId="1" applyAlignment="1" pivotButton="0" quotePrefix="0" xfId="0">
      <alignment vertical="top"/>
    </xf>
    <xf numFmtId="164" fontId="13" fillId="3" borderId="1" applyAlignment="1" pivotButton="0" quotePrefix="0" xfId="0">
      <alignment vertical="top"/>
    </xf>
    <xf numFmtId="3" fontId="13" fillId="3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9" fontId="13" fillId="3" borderId="1" applyAlignment="1" pivotButton="0" quotePrefix="0" xfId="0">
      <alignment vertical="top"/>
    </xf>
    <xf numFmtId="166" fontId="13" fillId="3" borderId="1" applyAlignment="1" pivotButton="0" quotePrefix="0" xfId="0">
      <alignment vertical="top"/>
    </xf>
    <xf numFmtId="0" fontId="8" fillId="0" borderId="3" applyAlignment="1" pivotButton="0" quotePrefix="0" xfId="0">
      <alignment vertical="top" wrapText="1"/>
    </xf>
    <xf numFmtId="3" fontId="8" fillId="4" borderId="1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BE3DE"/>
          <bgColor rgb="00FBE3DE"/>
        </patternFill>
      </fill>
    </dxf>
    <dxf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Inventory and Reorder</t>
        </is>
      </c>
    </row>
    <row r="4" ht="30" customHeight="1">
      <c r="B4" s="3" t="inlineStr">
        <is>
          <t>Track stock for every product, see weeks of stock left, and get a reorder flag before you sell out, with margin and stock value.</t>
        </is>
      </c>
    </row>
    <row r="6">
      <c r="B6" s="1" t="inlineStr">
        <is>
          <t>HOW TO USE IT</t>
        </is>
      </c>
    </row>
    <row r="7" ht="16" customHeight="1">
      <c r="B7" s="4" t="inlineStr">
        <is>
          <t>1.  One row per product or variant. Type what you have on hand today.</t>
        </is>
      </c>
    </row>
    <row r="8" ht="16" customHeight="1">
      <c r="B8" s="4" t="inlineStr">
        <is>
          <t>2.  Type average units sold per week. Use the last four weeks of orders.</t>
        </is>
      </c>
    </row>
    <row r="9" ht="32" customHeight="1">
      <c r="B9" s="4" t="inlineStr">
        <is>
          <t>3.  Type the supplier's lead time in days, door to door, and how many weeks of extra stock you want as a safety net.</t>
        </is>
      </c>
    </row>
    <row r="10" ht="16" customHeight="1">
      <c r="B10" s="4" t="inlineStr">
        <is>
          <t>4.  Type your cost and price per unit.</t>
        </is>
      </c>
    </row>
    <row r="11" ht="16" customHeight="1">
      <c r="B11" s="4" t="inlineStr">
        <is>
          <t>5.  Read the grey columns. Red means order now. Yellow means order within two weeks.</t>
        </is>
      </c>
    </row>
    <row r="12" ht="16" customHeight="1">
      <c r="B12" s="4" t="inlineStr">
        <is>
          <t>6.  Every Monday, update on hand and weekly sales.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15" customHeight="1">
      <c r="B24" s="9" t="inlineStr">
        <is>
          <t>Not financial advice.</t>
        </is>
      </c>
    </row>
    <row r="26">
      <c r="B26" s="10" t="inlineStr">
        <is>
          <t>Make today day one.  ·  127group.io</t>
        </is>
      </c>
    </row>
    <row r="27">
      <c r="B27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3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11" customWidth="1" min="4" max="4"/>
    <col width="10" customWidth="1" min="5" max="5"/>
    <col width="9" customWidth="1" min="6" max="6"/>
    <col width="10" customWidth="1" min="7" max="7"/>
    <col width="10" customWidth="1" min="8" max="8"/>
    <col width="11" customWidth="1" min="9" max="9"/>
    <col width="12" customWidth="1" min="10" max="10"/>
    <col width="14" customWidth="1" min="11" max="11"/>
    <col width="12" customWidth="1" min="12" max="12"/>
    <col width="9" customWidth="1" min="13" max="13"/>
    <col width="12" customWidth="1" min="14" max="14"/>
  </cols>
  <sheetData>
    <row r="1" ht="26" customHeight="1">
      <c r="A1" s="12" t="inlineStr">
        <is>
          <t>Inventory and reorder</t>
        </is>
      </c>
    </row>
    <row r="2" ht="16" customHeight="1">
      <c r="A2" s="13" t="inlineStr">
        <is>
          <t>White cells: type. Grey cells: calculated. Update on hand every Monday.</t>
        </is>
      </c>
    </row>
    <row r="3" ht="40" customHeight="1">
      <c r="A3" s="14" t="inlineStr">
        <is>
          <t>SKU</t>
        </is>
      </c>
      <c r="B3" s="14" t="inlineStr">
        <is>
          <t>Product</t>
        </is>
      </c>
      <c r="C3" s="14" t="inlineStr">
        <is>
          <t>On hand</t>
        </is>
      </c>
      <c r="D3" s="14" t="inlineStr">
        <is>
          <t>Sold per week (avg)</t>
        </is>
      </c>
      <c r="E3" s="14" t="inlineStr">
        <is>
          <t>Lead time (days)</t>
        </is>
      </c>
      <c r="F3" s="14" t="inlineStr">
        <is>
          <t>Safety (weeks)</t>
        </is>
      </c>
      <c r="G3" s="14" t="inlineStr">
        <is>
          <t>Cost per unit ($)</t>
        </is>
      </c>
      <c r="H3" s="14" t="inlineStr">
        <is>
          <t>Price ($)</t>
        </is>
      </c>
      <c r="I3" s="15" t="inlineStr">
        <is>
          <t>Weeks of stock left</t>
        </is>
      </c>
      <c r="J3" s="15" t="inlineStr">
        <is>
          <t>Reorder when on hand hits</t>
        </is>
      </c>
      <c r="K3" s="15" t="inlineStr">
        <is>
          <t>Reorder?</t>
        </is>
      </c>
      <c r="L3" s="15" t="inlineStr">
        <is>
          <t>Suggested order (8 weeks)</t>
        </is>
      </c>
      <c r="M3" s="15" t="inlineStr">
        <is>
          <t>Margin</t>
        </is>
      </c>
      <c r="N3" s="15" t="inlineStr">
        <is>
          <t>Stock value at cost ($)</t>
        </is>
      </c>
    </row>
    <row r="4">
      <c r="A4" s="16" t="n"/>
      <c r="B4" s="17" t="n"/>
      <c r="C4" s="18" t="n"/>
      <c r="D4" s="19" t="n"/>
      <c r="E4" s="18" t="n"/>
      <c r="F4" s="19" t="n">
        <v>2</v>
      </c>
      <c r="G4" s="20" t="n"/>
      <c r="H4" s="20" t="n"/>
      <c r="I4" s="21">
        <f>IF(OR(C4="",N(D4)=0),"",C4/D4)</f>
        <v/>
      </c>
      <c r="J4" s="22">
        <f>IF(N(D4)=0,"",ROUNDUP(D4*(N(E4)/7+N(F4)),0))</f>
        <v/>
      </c>
      <c r="K4" s="23">
        <f>IF(J4="","",IF(C4&lt;=J4,"Order now",IF(C4&lt;=J4+2*D4,"Within 2 weeks","OK")))</f>
        <v/>
      </c>
      <c r="L4" s="22">
        <f>IF(K4="OK","",IF(K4="","",MAX(0,ROUNDUP(D4*8+J4-C4,0))))</f>
        <v/>
      </c>
      <c r="M4" s="24">
        <f>IF(OR(H4="",N(H4)=0),"",(H4-N(G4))/H4)</f>
        <v/>
      </c>
      <c r="N4" s="25">
        <f>IF(C4="","",C4*N(G4))</f>
        <v/>
      </c>
    </row>
    <row r="5">
      <c r="A5" s="16" t="n"/>
      <c r="B5" s="17" t="n"/>
      <c r="C5" s="18" t="n"/>
      <c r="D5" s="19" t="n"/>
      <c r="E5" s="18" t="n"/>
      <c r="F5" s="19" t="n">
        <v>2</v>
      </c>
      <c r="G5" s="20" t="n"/>
      <c r="H5" s="20" t="n"/>
      <c r="I5" s="21">
        <f>IF(OR(C5="",N(D5)=0),"",C5/D5)</f>
        <v/>
      </c>
      <c r="J5" s="22">
        <f>IF(N(D5)=0,"",ROUNDUP(D5*(N(E5)/7+N(F5)),0))</f>
        <v/>
      </c>
      <c r="K5" s="23">
        <f>IF(J5="","",IF(C5&lt;=J5,"Order now",IF(C5&lt;=J5+2*D5,"Within 2 weeks","OK")))</f>
        <v/>
      </c>
      <c r="L5" s="22">
        <f>IF(K5="OK","",IF(K5="","",MAX(0,ROUNDUP(D5*8+J5-C5,0))))</f>
        <v/>
      </c>
      <c r="M5" s="24">
        <f>IF(OR(H5="",N(H5)=0),"",(H5-N(G5))/H5)</f>
        <v/>
      </c>
      <c r="N5" s="25">
        <f>IF(C5="","",C5*N(G5))</f>
        <v/>
      </c>
    </row>
    <row r="6">
      <c r="A6" s="16" t="n"/>
      <c r="B6" s="17" t="n"/>
      <c r="C6" s="18" t="n"/>
      <c r="D6" s="19" t="n"/>
      <c r="E6" s="18" t="n"/>
      <c r="F6" s="19" t="n">
        <v>2</v>
      </c>
      <c r="G6" s="20" t="n"/>
      <c r="H6" s="20" t="n"/>
      <c r="I6" s="21">
        <f>IF(OR(C6="",N(D6)=0),"",C6/D6)</f>
        <v/>
      </c>
      <c r="J6" s="22">
        <f>IF(N(D6)=0,"",ROUNDUP(D6*(N(E6)/7+N(F6)),0))</f>
        <v/>
      </c>
      <c r="K6" s="23">
        <f>IF(J6="","",IF(C6&lt;=J6,"Order now",IF(C6&lt;=J6+2*D6,"Within 2 weeks","OK")))</f>
        <v/>
      </c>
      <c r="L6" s="22">
        <f>IF(K6="OK","",IF(K6="","",MAX(0,ROUNDUP(D6*8+J6-C6,0))))</f>
        <v/>
      </c>
      <c r="M6" s="24">
        <f>IF(OR(H6="",N(H6)=0),"",(H6-N(G6))/H6)</f>
        <v/>
      </c>
      <c r="N6" s="25">
        <f>IF(C6="","",C6*N(G6))</f>
        <v/>
      </c>
    </row>
    <row r="7">
      <c r="A7" s="16" t="n"/>
      <c r="B7" s="17" t="n"/>
      <c r="C7" s="18" t="n"/>
      <c r="D7" s="19" t="n"/>
      <c r="E7" s="18" t="n"/>
      <c r="F7" s="19" t="n">
        <v>2</v>
      </c>
      <c r="G7" s="20" t="n"/>
      <c r="H7" s="20" t="n"/>
      <c r="I7" s="21">
        <f>IF(OR(C7="",N(D7)=0),"",C7/D7)</f>
        <v/>
      </c>
      <c r="J7" s="22">
        <f>IF(N(D7)=0,"",ROUNDUP(D7*(N(E7)/7+N(F7)),0))</f>
        <v/>
      </c>
      <c r="K7" s="23">
        <f>IF(J7="","",IF(C7&lt;=J7,"Order now",IF(C7&lt;=J7+2*D7,"Within 2 weeks","OK")))</f>
        <v/>
      </c>
      <c r="L7" s="22">
        <f>IF(K7="OK","",IF(K7="","",MAX(0,ROUNDUP(D7*8+J7-C7,0))))</f>
        <v/>
      </c>
      <c r="M7" s="24">
        <f>IF(OR(H7="",N(H7)=0),"",(H7-N(G7))/H7)</f>
        <v/>
      </c>
      <c r="N7" s="25">
        <f>IF(C7="","",C7*N(G7))</f>
        <v/>
      </c>
    </row>
    <row r="8">
      <c r="A8" s="16" t="n"/>
      <c r="B8" s="17" t="n"/>
      <c r="C8" s="18" t="n"/>
      <c r="D8" s="19" t="n"/>
      <c r="E8" s="18" t="n"/>
      <c r="F8" s="19" t="n">
        <v>2</v>
      </c>
      <c r="G8" s="20" t="n"/>
      <c r="H8" s="20" t="n"/>
      <c r="I8" s="21">
        <f>IF(OR(C8="",N(D8)=0),"",C8/D8)</f>
        <v/>
      </c>
      <c r="J8" s="22">
        <f>IF(N(D8)=0,"",ROUNDUP(D8*(N(E8)/7+N(F8)),0))</f>
        <v/>
      </c>
      <c r="K8" s="23">
        <f>IF(J8="","",IF(C8&lt;=J8,"Order now",IF(C8&lt;=J8+2*D8,"Within 2 weeks","OK")))</f>
        <v/>
      </c>
      <c r="L8" s="22">
        <f>IF(K8="OK","",IF(K8="","",MAX(0,ROUNDUP(D8*8+J8-C8,0))))</f>
        <v/>
      </c>
      <c r="M8" s="24">
        <f>IF(OR(H8="",N(H8)=0),"",(H8-N(G8))/H8)</f>
        <v/>
      </c>
      <c r="N8" s="25">
        <f>IF(C8="","",C8*N(G8))</f>
        <v/>
      </c>
    </row>
    <row r="9">
      <c r="A9" s="16" t="n"/>
      <c r="B9" s="17" t="n"/>
      <c r="C9" s="18" t="n"/>
      <c r="D9" s="19" t="n"/>
      <c r="E9" s="18" t="n"/>
      <c r="F9" s="19" t="n">
        <v>2</v>
      </c>
      <c r="G9" s="20" t="n"/>
      <c r="H9" s="20" t="n"/>
      <c r="I9" s="21">
        <f>IF(OR(C9="",N(D9)=0),"",C9/D9)</f>
        <v/>
      </c>
      <c r="J9" s="22">
        <f>IF(N(D9)=0,"",ROUNDUP(D9*(N(E9)/7+N(F9)),0))</f>
        <v/>
      </c>
      <c r="K9" s="23">
        <f>IF(J9="","",IF(C9&lt;=J9,"Order now",IF(C9&lt;=J9+2*D9,"Within 2 weeks","OK")))</f>
        <v/>
      </c>
      <c r="L9" s="22">
        <f>IF(K9="OK","",IF(K9="","",MAX(0,ROUNDUP(D9*8+J9-C9,0))))</f>
        <v/>
      </c>
      <c r="M9" s="24">
        <f>IF(OR(H9="",N(H9)=0),"",(H9-N(G9))/H9)</f>
        <v/>
      </c>
      <c r="N9" s="25">
        <f>IF(C9="","",C9*N(G9))</f>
        <v/>
      </c>
    </row>
    <row r="10">
      <c r="A10" s="16" t="n"/>
      <c r="B10" s="17" t="n"/>
      <c r="C10" s="18" t="n"/>
      <c r="D10" s="19" t="n"/>
      <c r="E10" s="18" t="n"/>
      <c r="F10" s="19" t="n">
        <v>2</v>
      </c>
      <c r="G10" s="20" t="n"/>
      <c r="H10" s="20" t="n"/>
      <c r="I10" s="21">
        <f>IF(OR(C10="",N(D10)=0),"",C10/D10)</f>
        <v/>
      </c>
      <c r="J10" s="22">
        <f>IF(N(D10)=0,"",ROUNDUP(D10*(N(E10)/7+N(F10)),0))</f>
        <v/>
      </c>
      <c r="K10" s="23">
        <f>IF(J10="","",IF(C10&lt;=J10,"Order now",IF(C10&lt;=J10+2*D10,"Within 2 weeks","OK")))</f>
        <v/>
      </c>
      <c r="L10" s="22">
        <f>IF(K10="OK","",IF(K10="","",MAX(0,ROUNDUP(D10*8+J10-C10,0))))</f>
        <v/>
      </c>
      <c r="M10" s="24">
        <f>IF(OR(H10="",N(H10)=0),"",(H10-N(G10))/H10)</f>
        <v/>
      </c>
      <c r="N10" s="25">
        <f>IF(C10="","",C10*N(G10))</f>
        <v/>
      </c>
    </row>
    <row r="11">
      <c r="A11" s="16" t="n"/>
      <c r="B11" s="17" t="n"/>
      <c r="C11" s="18" t="n"/>
      <c r="D11" s="19" t="n"/>
      <c r="E11" s="18" t="n"/>
      <c r="F11" s="19" t="n">
        <v>2</v>
      </c>
      <c r="G11" s="20" t="n"/>
      <c r="H11" s="20" t="n"/>
      <c r="I11" s="21">
        <f>IF(OR(C11="",N(D11)=0),"",C11/D11)</f>
        <v/>
      </c>
      <c r="J11" s="22">
        <f>IF(N(D11)=0,"",ROUNDUP(D11*(N(E11)/7+N(F11)),0))</f>
        <v/>
      </c>
      <c r="K11" s="23">
        <f>IF(J11="","",IF(C11&lt;=J11,"Order now",IF(C11&lt;=J11+2*D11,"Within 2 weeks","OK")))</f>
        <v/>
      </c>
      <c r="L11" s="22">
        <f>IF(K11="OK","",IF(K11="","",MAX(0,ROUNDUP(D11*8+J11-C11,0))))</f>
        <v/>
      </c>
      <c r="M11" s="24">
        <f>IF(OR(H11="",N(H11)=0),"",(H11-N(G11))/H11)</f>
        <v/>
      </c>
      <c r="N11" s="25">
        <f>IF(C11="","",C11*N(G11))</f>
        <v/>
      </c>
    </row>
    <row r="12">
      <c r="A12" s="16" t="n"/>
      <c r="B12" s="17" t="n"/>
      <c r="C12" s="18" t="n"/>
      <c r="D12" s="19" t="n"/>
      <c r="E12" s="18" t="n"/>
      <c r="F12" s="19" t="n">
        <v>2</v>
      </c>
      <c r="G12" s="20" t="n"/>
      <c r="H12" s="20" t="n"/>
      <c r="I12" s="21">
        <f>IF(OR(C12="",N(D12)=0),"",C12/D12)</f>
        <v/>
      </c>
      <c r="J12" s="22">
        <f>IF(N(D12)=0,"",ROUNDUP(D12*(N(E12)/7+N(F12)),0))</f>
        <v/>
      </c>
      <c r="K12" s="23">
        <f>IF(J12="","",IF(C12&lt;=J12,"Order now",IF(C12&lt;=J12+2*D12,"Within 2 weeks","OK")))</f>
        <v/>
      </c>
      <c r="L12" s="22">
        <f>IF(K12="OK","",IF(K12="","",MAX(0,ROUNDUP(D12*8+J12-C12,0))))</f>
        <v/>
      </c>
      <c r="M12" s="24">
        <f>IF(OR(H12="",N(H12)=0),"",(H12-N(G12))/H12)</f>
        <v/>
      </c>
      <c r="N12" s="25">
        <f>IF(C12="","",C12*N(G12))</f>
        <v/>
      </c>
    </row>
    <row r="13">
      <c r="A13" s="16" t="n"/>
      <c r="B13" s="17" t="n"/>
      <c r="C13" s="18" t="n"/>
      <c r="D13" s="19" t="n"/>
      <c r="E13" s="18" t="n"/>
      <c r="F13" s="19" t="n">
        <v>2</v>
      </c>
      <c r="G13" s="20" t="n"/>
      <c r="H13" s="20" t="n"/>
      <c r="I13" s="21">
        <f>IF(OR(C13="",N(D13)=0),"",C13/D13)</f>
        <v/>
      </c>
      <c r="J13" s="22">
        <f>IF(N(D13)=0,"",ROUNDUP(D13*(N(E13)/7+N(F13)),0))</f>
        <v/>
      </c>
      <c r="K13" s="23">
        <f>IF(J13="","",IF(C13&lt;=J13,"Order now",IF(C13&lt;=J13+2*D13,"Within 2 weeks","OK")))</f>
        <v/>
      </c>
      <c r="L13" s="22">
        <f>IF(K13="OK","",IF(K13="","",MAX(0,ROUNDUP(D13*8+J13-C13,0))))</f>
        <v/>
      </c>
      <c r="M13" s="24">
        <f>IF(OR(H13="",N(H13)=0),"",(H13-N(G13))/H13)</f>
        <v/>
      </c>
      <c r="N13" s="25">
        <f>IF(C13="","",C13*N(G13))</f>
        <v/>
      </c>
    </row>
    <row r="14">
      <c r="A14" s="16" t="n"/>
      <c r="B14" s="17" t="n"/>
      <c r="C14" s="18" t="n"/>
      <c r="D14" s="19" t="n"/>
      <c r="E14" s="18" t="n"/>
      <c r="F14" s="19" t="n">
        <v>2</v>
      </c>
      <c r="G14" s="20" t="n"/>
      <c r="H14" s="20" t="n"/>
      <c r="I14" s="21">
        <f>IF(OR(C14="",N(D14)=0),"",C14/D14)</f>
        <v/>
      </c>
      <c r="J14" s="22">
        <f>IF(N(D14)=0,"",ROUNDUP(D14*(N(E14)/7+N(F14)),0))</f>
        <v/>
      </c>
      <c r="K14" s="23">
        <f>IF(J14="","",IF(C14&lt;=J14,"Order now",IF(C14&lt;=J14+2*D14,"Within 2 weeks","OK")))</f>
        <v/>
      </c>
      <c r="L14" s="22">
        <f>IF(K14="OK","",IF(K14="","",MAX(0,ROUNDUP(D14*8+J14-C14,0))))</f>
        <v/>
      </c>
      <c r="M14" s="24">
        <f>IF(OR(H14="",N(H14)=0),"",(H14-N(G14))/H14)</f>
        <v/>
      </c>
      <c r="N14" s="25">
        <f>IF(C14="","",C14*N(G14))</f>
        <v/>
      </c>
    </row>
    <row r="15">
      <c r="A15" s="16" t="n"/>
      <c r="B15" s="17" t="n"/>
      <c r="C15" s="18" t="n"/>
      <c r="D15" s="19" t="n"/>
      <c r="E15" s="18" t="n"/>
      <c r="F15" s="19" t="n">
        <v>2</v>
      </c>
      <c r="G15" s="20" t="n"/>
      <c r="H15" s="20" t="n"/>
      <c r="I15" s="21">
        <f>IF(OR(C15="",N(D15)=0),"",C15/D15)</f>
        <v/>
      </c>
      <c r="J15" s="22">
        <f>IF(N(D15)=0,"",ROUNDUP(D15*(N(E15)/7+N(F15)),0))</f>
        <v/>
      </c>
      <c r="K15" s="23">
        <f>IF(J15="","",IF(C15&lt;=J15,"Order now",IF(C15&lt;=J15+2*D15,"Within 2 weeks","OK")))</f>
        <v/>
      </c>
      <c r="L15" s="22">
        <f>IF(K15="OK","",IF(K15="","",MAX(0,ROUNDUP(D15*8+J15-C15,0))))</f>
        <v/>
      </c>
      <c r="M15" s="24">
        <f>IF(OR(H15="",N(H15)=0),"",(H15-N(G15))/H15)</f>
        <v/>
      </c>
      <c r="N15" s="25">
        <f>IF(C15="","",C15*N(G15))</f>
        <v/>
      </c>
    </row>
    <row r="16">
      <c r="A16" s="16" t="n"/>
      <c r="B16" s="17" t="n"/>
      <c r="C16" s="18" t="n"/>
      <c r="D16" s="19" t="n"/>
      <c r="E16" s="18" t="n"/>
      <c r="F16" s="19" t="n">
        <v>2</v>
      </c>
      <c r="G16" s="20" t="n"/>
      <c r="H16" s="20" t="n"/>
      <c r="I16" s="21">
        <f>IF(OR(C16="",N(D16)=0),"",C16/D16)</f>
        <v/>
      </c>
      <c r="J16" s="22">
        <f>IF(N(D16)=0,"",ROUNDUP(D16*(N(E16)/7+N(F16)),0))</f>
        <v/>
      </c>
      <c r="K16" s="23">
        <f>IF(J16="","",IF(C16&lt;=J16,"Order now",IF(C16&lt;=J16+2*D16,"Within 2 weeks","OK")))</f>
        <v/>
      </c>
      <c r="L16" s="22">
        <f>IF(K16="OK","",IF(K16="","",MAX(0,ROUNDUP(D16*8+J16-C16,0))))</f>
        <v/>
      </c>
      <c r="M16" s="24">
        <f>IF(OR(H16="",N(H16)=0),"",(H16-N(G16))/H16)</f>
        <v/>
      </c>
      <c r="N16" s="25">
        <f>IF(C16="","",C16*N(G16))</f>
        <v/>
      </c>
    </row>
    <row r="17">
      <c r="A17" s="16" t="n"/>
      <c r="B17" s="17" t="n"/>
      <c r="C17" s="18" t="n"/>
      <c r="D17" s="19" t="n"/>
      <c r="E17" s="18" t="n"/>
      <c r="F17" s="19" t="n">
        <v>2</v>
      </c>
      <c r="G17" s="20" t="n"/>
      <c r="H17" s="20" t="n"/>
      <c r="I17" s="21">
        <f>IF(OR(C17="",N(D17)=0),"",C17/D17)</f>
        <v/>
      </c>
      <c r="J17" s="22">
        <f>IF(N(D17)=0,"",ROUNDUP(D17*(N(E17)/7+N(F17)),0))</f>
        <v/>
      </c>
      <c r="K17" s="23">
        <f>IF(J17="","",IF(C17&lt;=J17,"Order now",IF(C17&lt;=J17+2*D17,"Within 2 weeks","OK")))</f>
        <v/>
      </c>
      <c r="L17" s="22">
        <f>IF(K17="OK","",IF(K17="","",MAX(0,ROUNDUP(D17*8+J17-C17,0))))</f>
        <v/>
      </c>
      <c r="M17" s="24">
        <f>IF(OR(H17="",N(H17)=0),"",(H17-N(G17))/H17)</f>
        <v/>
      </c>
      <c r="N17" s="25">
        <f>IF(C17="","",C17*N(G17))</f>
        <v/>
      </c>
    </row>
    <row r="18">
      <c r="A18" s="16" t="n"/>
      <c r="B18" s="17" t="n"/>
      <c r="C18" s="18" t="n"/>
      <c r="D18" s="19" t="n"/>
      <c r="E18" s="18" t="n"/>
      <c r="F18" s="19" t="n">
        <v>2</v>
      </c>
      <c r="G18" s="20" t="n"/>
      <c r="H18" s="20" t="n"/>
      <c r="I18" s="21">
        <f>IF(OR(C18="",N(D18)=0),"",C18/D18)</f>
        <v/>
      </c>
      <c r="J18" s="22">
        <f>IF(N(D18)=0,"",ROUNDUP(D18*(N(E18)/7+N(F18)),0))</f>
        <v/>
      </c>
      <c r="K18" s="23">
        <f>IF(J18="","",IF(C18&lt;=J18,"Order now",IF(C18&lt;=J18+2*D18,"Within 2 weeks","OK")))</f>
        <v/>
      </c>
      <c r="L18" s="22">
        <f>IF(K18="OK","",IF(K18="","",MAX(0,ROUNDUP(D18*8+J18-C18,0))))</f>
        <v/>
      </c>
      <c r="M18" s="24">
        <f>IF(OR(H18="",N(H18)=0),"",(H18-N(G18))/H18)</f>
        <v/>
      </c>
      <c r="N18" s="25">
        <f>IF(C18="","",C18*N(G18))</f>
        <v/>
      </c>
    </row>
    <row r="19">
      <c r="A19" s="16" t="n"/>
      <c r="B19" s="17" t="n"/>
      <c r="C19" s="18" t="n"/>
      <c r="D19" s="19" t="n"/>
      <c r="E19" s="18" t="n"/>
      <c r="F19" s="19" t="n">
        <v>2</v>
      </c>
      <c r="G19" s="20" t="n"/>
      <c r="H19" s="20" t="n"/>
      <c r="I19" s="21">
        <f>IF(OR(C19="",N(D19)=0),"",C19/D19)</f>
        <v/>
      </c>
      <c r="J19" s="22">
        <f>IF(N(D19)=0,"",ROUNDUP(D19*(N(E19)/7+N(F19)),0))</f>
        <v/>
      </c>
      <c r="K19" s="23">
        <f>IF(J19="","",IF(C19&lt;=J19,"Order now",IF(C19&lt;=J19+2*D19,"Within 2 weeks","OK")))</f>
        <v/>
      </c>
      <c r="L19" s="22">
        <f>IF(K19="OK","",IF(K19="","",MAX(0,ROUNDUP(D19*8+J19-C19,0))))</f>
        <v/>
      </c>
      <c r="M19" s="24">
        <f>IF(OR(H19="",N(H19)=0),"",(H19-N(G19))/H19)</f>
        <v/>
      </c>
      <c r="N19" s="25">
        <f>IF(C19="","",C19*N(G19))</f>
        <v/>
      </c>
    </row>
    <row r="20">
      <c r="A20" s="16" t="n"/>
      <c r="B20" s="17" t="n"/>
      <c r="C20" s="18" t="n"/>
      <c r="D20" s="19" t="n"/>
      <c r="E20" s="18" t="n"/>
      <c r="F20" s="19" t="n">
        <v>2</v>
      </c>
      <c r="G20" s="20" t="n"/>
      <c r="H20" s="20" t="n"/>
      <c r="I20" s="21">
        <f>IF(OR(C20="",N(D20)=0),"",C20/D20)</f>
        <v/>
      </c>
      <c r="J20" s="22">
        <f>IF(N(D20)=0,"",ROUNDUP(D20*(N(E20)/7+N(F20)),0))</f>
        <v/>
      </c>
      <c r="K20" s="23">
        <f>IF(J20="","",IF(C20&lt;=J20,"Order now",IF(C20&lt;=J20+2*D20,"Within 2 weeks","OK")))</f>
        <v/>
      </c>
      <c r="L20" s="22">
        <f>IF(K20="OK","",IF(K20="","",MAX(0,ROUNDUP(D20*8+J20-C20,0))))</f>
        <v/>
      </c>
      <c r="M20" s="24">
        <f>IF(OR(H20="",N(H20)=0),"",(H20-N(G20))/H20)</f>
        <v/>
      </c>
      <c r="N20" s="25">
        <f>IF(C20="","",C20*N(G20))</f>
        <v/>
      </c>
    </row>
    <row r="21">
      <c r="A21" s="16" t="n"/>
      <c r="B21" s="17" t="n"/>
      <c r="C21" s="18" t="n"/>
      <c r="D21" s="19" t="n"/>
      <c r="E21" s="18" t="n"/>
      <c r="F21" s="19" t="n">
        <v>2</v>
      </c>
      <c r="G21" s="20" t="n"/>
      <c r="H21" s="20" t="n"/>
      <c r="I21" s="21">
        <f>IF(OR(C21="",N(D21)=0),"",C21/D21)</f>
        <v/>
      </c>
      <c r="J21" s="22">
        <f>IF(N(D21)=0,"",ROUNDUP(D21*(N(E21)/7+N(F21)),0))</f>
        <v/>
      </c>
      <c r="K21" s="23">
        <f>IF(J21="","",IF(C21&lt;=J21,"Order now",IF(C21&lt;=J21+2*D21,"Within 2 weeks","OK")))</f>
        <v/>
      </c>
      <c r="L21" s="22">
        <f>IF(K21="OK","",IF(K21="","",MAX(0,ROUNDUP(D21*8+J21-C21,0))))</f>
        <v/>
      </c>
      <c r="M21" s="24">
        <f>IF(OR(H21="",N(H21)=0),"",(H21-N(G21))/H21)</f>
        <v/>
      </c>
      <c r="N21" s="25">
        <f>IF(C21="","",C21*N(G21))</f>
        <v/>
      </c>
    </row>
    <row r="22">
      <c r="A22" s="16" t="n"/>
      <c r="B22" s="17" t="n"/>
      <c r="C22" s="18" t="n"/>
      <c r="D22" s="19" t="n"/>
      <c r="E22" s="18" t="n"/>
      <c r="F22" s="19" t="n">
        <v>2</v>
      </c>
      <c r="G22" s="20" t="n"/>
      <c r="H22" s="20" t="n"/>
      <c r="I22" s="21">
        <f>IF(OR(C22="",N(D22)=0),"",C22/D22)</f>
        <v/>
      </c>
      <c r="J22" s="22">
        <f>IF(N(D22)=0,"",ROUNDUP(D22*(N(E22)/7+N(F22)),0))</f>
        <v/>
      </c>
      <c r="K22" s="23">
        <f>IF(J22="","",IF(C22&lt;=J22,"Order now",IF(C22&lt;=J22+2*D22,"Within 2 weeks","OK")))</f>
        <v/>
      </c>
      <c r="L22" s="22">
        <f>IF(K22="OK","",IF(K22="","",MAX(0,ROUNDUP(D22*8+J22-C22,0))))</f>
        <v/>
      </c>
      <c r="M22" s="24">
        <f>IF(OR(H22="",N(H22)=0),"",(H22-N(G22))/H22)</f>
        <v/>
      </c>
      <c r="N22" s="25">
        <f>IF(C22="","",C22*N(G22))</f>
        <v/>
      </c>
    </row>
    <row r="23">
      <c r="A23" s="16" t="n"/>
      <c r="B23" s="17" t="n"/>
      <c r="C23" s="18" t="n"/>
      <c r="D23" s="19" t="n"/>
      <c r="E23" s="18" t="n"/>
      <c r="F23" s="19" t="n">
        <v>2</v>
      </c>
      <c r="G23" s="20" t="n"/>
      <c r="H23" s="20" t="n"/>
      <c r="I23" s="21">
        <f>IF(OR(C23="",N(D23)=0),"",C23/D23)</f>
        <v/>
      </c>
      <c r="J23" s="22">
        <f>IF(N(D23)=0,"",ROUNDUP(D23*(N(E23)/7+N(F23)),0))</f>
        <v/>
      </c>
      <c r="K23" s="23">
        <f>IF(J23="","",IF(C23&lt;=J23,"Order now",IF(C23&lt;=J23+2*D23,"Within 2 weeks","OK")))</f>
        <v/>
      </c>
      <c r="L23" s="22">
        <f>IF(K23="OK","",IF(K23="","",MAX(0,ROUNDUP(D23*8+J23-C23,0))))</f>
        <v/>
      </c>
      <c r="M23" s="24">
        <f>IF(OR(H23="",N(H23)=0),"",(H23-N(G23))/H23)</f>
        <v/>
      </c>
      <c r="N23" s="25">
        <f>IF(C23="","",C23*N(G23))</f>
        <v/>
      </c>
    </row>
    <row r="24">
      <c r="A24" s="16" t="n"/>
      <c r="B24" s="17" t="n"/>
      <c r="C24" s="18" t="n"/>
      <c r="D24" s="19" t="n"/>
      <c r="E24" s="18" t="n"/>
      <c r="F24" s="19" t="n">
        <v>2</v>
      </c>
      <c r="G24" s="20" t="n"/>
      <c r="H24" s="20" t="n"/>
      <c r="I24" s="21">
        <f>IF(OR(C24="",N(D24)=0),"",C24/D24)</f>
        <v/>
      </c>
      <c r="J24" s="22">
        <f>IF(N(D24)=0,"",ROUNDUP(D24*(N(E24)/7+N(F24)),0))</f>
        <v/>
      </c>
      <c r="K24" s="23">
        <f>IF(J24="","",IF(C24&lt;=J24,"Order now",IF(C24&lt;=J24+2*D24,"Within 2 weeks","OK")))</f>
        <v/>
      </c>
      <c r="L24" s="22">
        <f>IF(K24="OK","",IF(K24="","",MAX(0,ROUNDUP(D24*8+J24-C24,0))))</f>
        <v/>
      </c>
      <c r="M24" s="24">
        <f>IF(OR(H24="",N(H24)=0),"",(H24-N(G24))/H24)</f>
        <v/>
      </c>
      <c r="N24" s="25">
        <f>IF(C24="","",C24*N(G24))</f>
        <v/>
      </c>
    </row>
    <row r="25">
      <c r="A25" s="16" t="n"/>
      <c r="B25" s="17" t="n"/>
      <c r="C25" s="18" t="n"/>
      <c r="D25" s="19" t="n"/>
      <c r="E25" s="18" t="n"/>
      <c r="F25" s="19" t="n">
        <v>2</v>
      </c>
      <c r="G25" s="20" t="n"/>
      <c r="H25" s="20" t="n"/>
      <c r="I25" s="21">
        <f>IF(OR(C25="",N(D25)=0),"",C25/D25)</f>
        <v/>
      </c>
      <c r="J25" s="22">
        <f>IF(N(D25)=0,"",ROUNDUP(D25*(N(E25)/7+N(F25)),0))</f>
        <v/>
      </c>
      <c r="K25" s="23">
        <f>IF(J25="","",IF(C25&lt;=J25,"Order now",IF(C25&lt;=J25+2*D25,"Within 2 weeks","OK")))</f>
        <v/>
      </c>
      <c r="L25" s="22">
        <f>IF(K25="OK","",IF(K25="","",MAX(0,ROUNDUP(D25*8+J25-C25,0))))</f>
        <v/>
      </c>
      <c r="M25" s="24">
        <f>IF(OR(H25="",N(H25)=0),"",(H25-N(G25))/H25)</f>
        <v/>
      </c>
      <c r="N25" s="25">
        <f>IF(C25="","",C25*N(G25))</f>
        <v/>
      </c>
    </row>
    <row r="26">
      <c r="A26" s="16" t="n"/>
      <c r="B26" s="17" t="n"/>
      <c r="C26" s="18" t="n"/>
      <c r="D26" s="19" t="n"/>
      <c r="E26" s="18" t="n"/>
      <c r="F26" s="19" t="n">
        <v>2</v>
      </c>
      <c r="G26" s="20" t="n"/>
      <c r="H26" s="20" t="n"/>
      <c r="I26" s="21">
        <f>IF(OR(C26="",N(D26)=0),"",C26/D26)</f>
        <v/>
      </c>
      <c r="J26" s="22">
        <f>IF(N(D26)=0,"",ROUNDUP(D26*(N(E26)/7+N(F26)),0))</f>
        <v/>
      </c>
      <c r="K26" s="23">
        <f>IF(J26="","",IF(C26&lt;=J26,"Order now",IF(C26&lt;=J26+2*D26,"Within 2 weeks","OK")))</f>
        <v/>
      </c>
      <c r="L26" s="22">
        <f>IF(K26="OK","",IF(K26="","",MAX(0,ROUNDUP(D26*8+J26-C26,0))))</f>
        <v/>
      </c>
      <c r="M26" s="24">
        <f>IF(OR(H26="",N(H26)=0),"",(H26-N(G26))/H26)</f>
        <v/>
      </c>
      <c r="N26" s="25">
        <f>IF(C26="","",C26*N(G26))</f>
        <v/>
      </c>
    </row>
    <row r="27">
      <c r="A27" s="16" t="n"/>
      <c r="B27" s="17" t="n"/>
      <c r="C27" s="18" t="n"/>
      <c r="D27" s="19" t="n"/>
      <c r="E27" s="18" t="n"/>
      <c r="F27" s="19" t="n">
        <v>2</v>
      </c>
      <c r="G27" s="20" t="n"/>
      <c r="H27" s="20" t="n"/>
      <c r="I27" s="21">
        <f>IF(OR(C27="",N(D27)=0),"",C27/D27)</f>
        <v/>
      </c>
      <c r="J27" s="22">
        <f>IF(N(D27)=0,"",ROUNDUP(D27*(N(E27)/7+N(F27)),0))</f>
        <v/>
      </c>
      <c r="K27" s="23">
        <f>IF(J27="","",IF(C27&lt;=J27,"Order now",IF(C27&lt;=J27+2*D27,"Within 2 weeks","OK")))</f>
        <v/>
      </c>
      <c r="L27" s="22">
        <f>IF(K27="OK","",IF(K27="","",MAX(0,ROUNDUP(D27*8+J27-C27,0))))</f>
        <v/>
      </c>
      <c r="M27" s="24">
        <f>IF(OR(H27="",N(H27)=0),"",(H27-N(G27))/H27)</f>
        <v/>
      </c>
      <c r="N27" s="25">
        <f>IF(C27="","",C27*N(G27))</f>
        <v/>
      </c>
    </row>
    <row r="28">
      <c r="A28" s="16" t="n"/>
      <c r="B28" s="17" t="n"/>
      <c r="C28" s="18" t="n"/>
      <c r="D28" s="19" t="n"/>
      <c r="E28" s="18" t="n"/>
      <c r="F28" s="19" t="n">
        <v>2</v>
      </c>
      <c r="G28" s="20" t="n"/>
      <c r="H28" s="20" t="n"/>
      <c r="I28" s="21">
        <f>IF(OR(C28="",N(D28)=0),"",C28/D28)</f>
        <v/>
      </c>
      <c r="J28" s="22">
        <f>IF(N(D28)=0,"",ROUNDUP(D28*(N(E28)/7+N(F28)),0))</f>
        <v/>
      </c>
      <c r="K28" s="23">
        <f>IF(J28="","",IF(C28&lt;=J28,"Order now",IF(C28&lt;=J28+2*D28,"Within 2 weeks","OK")))</f>
        <v/>
      </c>
      <c r="L28" s="22">
        <f>IF(K28="OK","",IF(K28="","",MAX(0,ROUNDUP(D28*8+J28-C28,0))))</f>
        <v/>
      </c>
      <c r="M28" s="24">
        <f>IF(OR(H28="",N(H28)=0),"",(H28-N(G28))/H28)</f>
        <v/>
      </c>
      <c r="N28" s="25">
        <f>IF(C28="","",C28*N(G28))</f>
        <v/>
      </c>
    </row>
    <row r="29">
      <c r="A29" s="16" t="n"/>
      <c r="B29" s="17" t="n"/>
      <c r="C29" s="18" t="n"/>
      <c r="D29" s="19" t="n"/>
      <c r="E29" s="18" t="n"/>
      <c r="F29" s="19" t="n">
        <v>2</v>
      </c>
      <c r="G29" s="20" t="n"/>
      <c r="H29" s="20" t="n"/>
      <c r="I29" s="21">
        <f>IF(OR(C29="",N(D29)=0),"",C29/D29)</f>
        <v/>
      </c>
      <c r="J29" s="22">
        <f>IF(N(D29)=0,"",ROUNDUP(D29*(N(E29)/7+N(F29)),0))</f>
        <v/>
      </c>
      <c r="K29" s="23">
        <f>IF(J29="","",IF(C29&lt;=J29,"Order now",IF(C29&lt;=J29+2*D29,"Within 2 weeks","OK")))</f>
        <v/>
      </c>
      <c r="L29" s="22">
        <f>IF(K29="OK","",IF(K29="","",MAX(0,ROUNDUP(D29*8+J29-C29,0))))</f>
        <v/>
      </c>
      <c r="M29" s="24">
        <f>IF(OR(H29="",N(H29)=0),"",(H29-N(G29))/H29)</f>
        <v/>
      </c>
      <c r="N29" s="25">
        <f>IF(C29="","",C29*N(G29))</f>
        <v/>
      </c>
    </row>
    <row r="30">
      <c r="A30" s="16" t="n"/>
      <c r="B30" s="17" t="n"/>
      <c r="C30" s="18" t="n"/>
      <c r="D30" s="19" t="n"/>
      <c r="E30" s="18" t="n"/>
      <c r="F30" s="19" t="n">
        <v>2</v>
      </c>
      <c r="G30" s="20" t="n"/>
      <c r="H30" s="20" t="n"/>
      <c r="I30" s="21">
        <f>IF(OR(C30="",N(D30)=0),"",C30/D30)</f>
        <v/>
      </c>
      <c r="J30" s="22">
        <f>IF(N(D30)=0,"",ROUNDUP(D30*(N(E30)/7+N(F30)),0))</f>
        <v/>
      </c>
      <c r="K30" s="23">
        <f>IF(J30="","",IF(C30&lt;=J30,"Order now",IF(C30&lt;=J30+2*D30,"Within 2 weeks","OK")))</f>
        <v/>
      </c>
      <c r="L30" s="22">
        <f>IF(K30="OK","",IF(K30="","",MAX(0,ROUNDUP(D30*8+J30-C30,0))))</f>
        <v/>
      </c>
      <c r="M30" s="24">
        <f>IF(OR(H30="",N(H30)=0),"",(H30-N(G30))/H30)</f>
        <v/>
      </c>
      <c r="N30" s="25">
        <f>IF(C30="","",C30*N(G30))</f>
        <v/>
      </c>
    </row>
    <row r="31">
      <c r="A31" s="16" t="n"/>
      <c r="B31" s="17" t="n"/>
      <c r="C31" s="18" t="n"/>
      <c r="D31" s="19" t="n"/>
      <c r="E31" s="18" t="n"/>
      <c r="F31" s="19" t="n">
        <v>2</v>
      </c>
      <c r="G31" s="20" t="n"/>
      <c r="H31" s="20" t="n"/>
      <c r="I31" s="21">
        <f>IF(OR(C31="",N(D31)=0),"",C31/D31)</f>
        <v/>
      </c>
      <c r="J31" s="22">
        <f>IF(N(D31)=0,"",ROUNDUP(D31*(N(E31)/7+N(F31)),0))</f>
        <v/>
      </c>
      <c r="K31" s="23">
        <f>IF(J31="","",IF(C31&lt;=J31,"Order now",IF(C31&lt;=J31+2*D31,"Within 2 weeks","OK")))</f>
        <v/>
      </c>
      <c r="L31" s="22">
        <f>IF(K31="OK","",IF(K31="","",MAX(0,ROUNDUP(D31*8+J31-C31,0))))</f>
        <v/>
      </c>
      <c r="M31" s="24">
        <f>IF(OR(H31="",N(H31)=0),"",(H31-N(G31))/H31)</f>
        <v/>
      </c>
      <c r="N31" s="25">
        <f>IF(C31="","",C31*N(G31))</f>
        <v/>
      </c>
    </row>
    <row r="32">
      <c r="A32" s="16" t="n"/>
      <c r="B32" s="17" t="n"/>
      <c r="C32" s="18" t="n"/>
      <c r="D32" s="19" t="n"/>
      <c r="E32" s="18" t="n"/>
      <c r="F32" s="19" t="n">
        <v>2</v>
      </c>
      <c r="G32" s="20" t="n"/>
      <c r="H32" s="20" t="n"/>
      <c r="I32" s="21">
        <f>IF(OR(C32="",N(D32)=0),"",C32/D32)</f>
        <v/>
      </c>
      <c r="J32" s="22">
        <f>IF(N(D32)=0,"",ROUNDUP(D32*(N(E32)/7+N(F32)),0))</f>
        <v/>
      </c>
      <c r="K32" s="23">
        <f>IF(J32="","",IF(C32&lt;=J32,"Order now",IF(C32&lt;=J32+2*D32,"Within 2 weeks","OK")))</f>
        <v/>
      </c>
      <c r="L32" s="22">
        <f>IF(K32="OK","",IF(K32="","",MAX(0,ROUNDUP(D32*8+J32-C32,0))))</f>
        <v/>
      </c>
      <c r="M32" s="24">
        <f>IF(OR(H32="",N(H32)=0),"",(H32-N(G32))/H32)</f>
        <v/>
      </c>
      <c r="N32" s="25">
        <f>IF(C32="","",C32*N(G32))</f>
        <v/>
      </c>
    </row>
    <row r="33">
      <c r="A33" s="16" t="n"/>
      <c r="B33" s="17" t="n"/>
      <c r="C33" s="18" t="n"/>
      <c r="D33" s="19" t="n"/>
      <c r="E33" s="18" t="n"/>
      <c r="F33" s="19" t="n">
        <v>2</v>
      </c>
      <c r="G33" s="20" t="n"/>
      <c r="H33" s="20" t="n"/>
      <c r="I33" s="21">
        <f>IF(OR(C33="",N(D33)=0),"",C33/D33)</f>
        <v/>
      </c>
      <c r="J33" s="22">
        <f>IF(N(D33)=0,"",ROUNDUP(D33*(N(E33)/7+N(F33)),0))</f>
        <v/>
      </c>
      <c r="K33" s="23">
        <f>IF(J33="","",IF(C33&lt;=J33,"Order now",IF(C33&lt;=J33+2*D33,"Within 2 weeks","OK")))</f>
        <v/>
      </c>
      <c r="L33" s="22">
        <f>IF(K33="OK","",IF(K33="","",MAX(0,ROUNDUP(D33*8+J33-C33,0))))</f>
        <v/>
      </c>
      <c r="M33" s="24">
        <f>IF(OR(H33="",N(H33)=0),"",(H33-N(G33))/H33)</f>
        <v/>
      </c>
      <c r="N33" s="25">
        <f>IF(C33="","",C33*N(G33))</f>
        <v/>
      </c>
    </row>
    <row r="34">
      <c r="A34" s="16" t="n"/>
      <c r="B34" s="17" t="n"/>
      <c r="C34" s="18" t="n"/>
      <c r="D34" s="19" t="n"/>
      <c r="E34" s="18" t="n"/>
      <c r="F34" s="19" t="n">
        <v>2</v>
      </c>
      <c r="G34" s="20" t="n"/>
      <c r="H34" s="20" t="n"/>
      <c r="I34" s="21">
        <f>IF(OR(C34="",N(D34)=0),"",C34/D34)</f>
        <v/>
      </c>
      <c r="J34" s="22">
        <f>IF(N(D34)=0,"",ROUNDUP(D34*(N(E34)/7+N(F34)),0))</f>
        <v/>
      </c>
      <c r="K34" s="23">
        <f>IF(J34="","",IF(C34&lt;=J34,"Order now",IF(C34&lt;=J34+2*D34,"Within 2 weeks","OK")))</f>
        <v/>
      </c>
      <c r="L34" s="22">
        <f>IF(K34="OK","",IF(K34="","",MAX(0,ROUNDUP(D34*8+J34-C34,0))))</f>
        <v/>
      </c>
      <c r="M34" s="24">
        <f>IF(OR(H34="",N(H34)=0),"",(H34-N(G34))/H34)</f>
        <v/>
      </c>
      <c r="N34" s="25">
        <f>IF(C34="","",C34*N(G34))</f>
        <v/>
      </c>
    </row>
    <row r="35">
      <c r="A35" s="16" t="n"/>
      <c r="B35" s="17" t="n"/>
      <c r="C35" s="18" t="n"/>
      <c r="D35" s="19" t="n"/>
      <c r="E35" s="18" t="n"/>
      <c r="F35" s="19" t="n">
        <v>2</v>
      </c>
      <c r="G35" s="20" t="n"/>
      <c r="H35" s="20" t="n"/>
      <c r="I35" s="21">
        <f>IF(OR(C35="",N(D35)=0),"",C35/D35)</f>
        <v/>
      </c>
      <c r="J35" s="22">
        <f>IF(N(D35)=0,"",ROUNDUP(D35*(N(E35)/7+N(F35)),0))</f>
        <v/>
      </c>
      <c r="K35" s="23">
        <f>IF(J35="","",IF(C35&lt;=J35,"Order now",IF(C35&lt;=J35+2*D35,"Within 2 weeks","OK")))</f>
        <v/>
      </c>
      <c r="L35" s="22">
        <f>IF(K35="OK","",IF(K35="","",MAX(0,ROUNDUP(D35*8+J35-C35,0))))</f>
        <v/>
      </c>
      <c r="M35" s="24">
        <f>IF(OR(H35="",N(H35)=0),"",(H35-N(G35))/H35)</f>
        <v/>
      </c>
      <c r="N35" s="25">
        <f>IF(C35="","",C35*N(G35))</f>
        <v/>
      </c>
    </row>
    <row r="36">
      <c r="A36" s="16" t="n"/>
      <c r="B36" s="17" t="n"/>
      <c r="C36" s="18" t="n"/>
      <c r="D36" s="19" t="n"/>
      <c r="E36" s="18" t="n"/>
      <c r="F36" s="19" t="n">
        <v>2</v>
      </c>
      <c r="G36" s="20" t="n"/>
      <c r="H36" s="20" t="n"/>
      <c r="I36" s="21">
        <f>IF(OR(C36="",N(D36)=0),"",C36/D36)</f>
        <v/>
      </c>
      <c r="J36" s="22">
        <f>IF(N(D36)=0,"",ROUNDUP(D36*(N(E36)/7+N(F36)),0))</f>
        <v/>
      </c>
      <c r="K36" s="23">
        <f>IF(J36="","",IF(C36&lt;=J36,"Order now",IF(C36&lt;=J36+2*D36,"Within 2 weeks","OK")))</f>
        <v/>
      </c>
      <c r="L36" s="22">
        <f>IF(K36="OK","",IF(K36="","",MAX(0,ROUNDUP(D36*8+J36-C36,0))))</f>
        <v/>
      </c>
      <c r="M36" s="24">
        <f>IF(OR(H36="",N(H36)=0),"",(H36-N(G36))/H36)</f>
        <v/>
      </c>
      <c r="N36" s="25">
        <f>IF(C36="","",C36*N(G36))</f>
        <v/>
      </c>
    </row>
    <row r="37">
      <c r="A37" s="16" t="n"/>
      <c r="B37" s="17" t="n"/>
      <c r="C37" s="18" t="n"/>
      <c r="D37" s="19" t="n"/>
      <c r="E37" s="18" t="n"/>
      <c r="F37" s="19" t="n">
        <v>2</v>
      </c>
      <c r="G37" s="20" t="n"/>
      <c r="H37" s="20" t="n"/>
      <c r="I37" s="21">
        <f>IF(OR(C37="",N(D37)=0),"",C37/D37)</f>
        <v/>
      </c>
      <c r="J37" s="22">
        <f>IF(N(D37)=0,"",ROUNDUP(D37*(N(E37)/7+N(F37)),0))</f>
        <v/>
      </c>
      <c r="K37" s="23">
        <f>IF(J37="","",IF(C37&lt;=J37,"Order now",IF(C37&lt;=J37+2*D37,"Within 2 weeks","OK")))</f>
        <v/>
      </c>
      <c r="L37" s="22">
        <f>IF(K37="OK","",IF(K37="","",MAX(0,ROUNDUP(D37*8+J37-C37,0))))</f>
        <v/>
      </c>
      <c r="M37" s="24">
        <f>IF(OR(H37="",N(H37)=0),"",(H37-N(G37))/H37)</f>
        <v/>
      </c>
      <c r="N37" s="25">
        <f>IF(C37="","",C37*N(G37))</f>
        <v/>
      </c>
    </row>
    <row r="38">
      <c r="A38" s="16" t="n"/>
      <c r="B38" s="17" t="n"/>
      <c r="C38" s="18" t="n"/>
      <c r="D38" s="19" t="n"/>
      <c r="E38" s="18" t="n"/>
      <c r="F38" s="19" t="n">
        <v>2</v>
      </c>
      <c r="G38" s="20" t="n"/>
      <c r="H38" s="20" t="n"/>
      <c r="I38" s="21">
        <f>IF(OR(C38="",N(D38)=0),"",C38/D38)</f>
        <v/>
      </c>
      <c r="J38" s="22">
        <f>IF(N(D38)=0,"",ROUNDUP(D38*(N(E38)/7+N(F38)),0))</f>
        <v/>
      </c>
      <c r="K38" s="23">
        <f>IF(J38="","",IF(C38&lt;=J38,"Order now",IF(C38&lt;=J38+2*D38,"Within 2 weeks","OK")))</f>
        <v/>
      </c>
      <c r="L38" s="22">
        <f>IF(K38="OK","",IF(K38="","",MAX(0,ROUNDUP(D38*8+J38-C38,0))))</f>
        <v/>
      </c>
      <c r="M38" s="24">
        <f>IF(OR(H38="",N(H38)=0),"",(H38-N(G38))/H38)</f>
        <v/>
      </c>
      <c r="N38" s="25">
        <f>IF(C38="","",C38*N(G38))</f>
        <v/>
      </c>
    </row>
    <row r="39">
      <c r="A39" s="16" t="n"/>
      <c r="B39" s="17" t="n"/>
      <c r="C39" s="18" t="n"/>
      <c r="D39" s="19" t="n"/>
      <c r="E39" s="18" t="n"/>
      <c r="F39" s="19" t="n">
        <v>2</v>
      </c>
      <c r="G39" s="20" t="n"/>
      <c r="H39" s="20" t="n"/>
      <c r="I39" s="21">
        <f>IF(OR(C39="",N(D39)=0),"",C39/D39)</f>
        <v/>
      </c>
      <c r="J39" s="22">
        <f>IF(N(D39)=0,"",ROUNDUP(D39*(N(E39)/7+N(F39)),0))</f>
        <v/>
      </c>
      <c r="K39" s="23">
        <f>IF(J39="","",IF(C39&lt;=J39,"Order now",IF(C39&lt;=J39+2*D39,"Within 2 weeks","OK")))</f>
        <v/>
      </c>
      <c r="L39" s="22">
        <f>IF(K39="OK","",IF(K39="","",MAX(0,ROUNDUP(D39*8+J39-C39,0))))</f>
        <v/>
      </c>
      <c r="M39" s="24">
        <f>IF(OR(H39="",N(H39)=0),"",(H39-N(G39))/H39)</f>
        <v/>
      </c>
      <c r="N39" s="25">
        <f>IF(C39="","",C39*N(G39))</f>
        <v/>
      </c>
    </row>
    <row r="40">
      <c r="A40" s="16" t="n"/>
      <c r="B40" s="17" t="n"/>
      <c r="C40" s="18" t="n"/>
      <c r="D40" s="19" t="n"/>
      <c r="E40" s="18" t="n"/>
      <c r="F40" s="19" t="n">
        <v>2</v>
      </c>
      <c r="G40" s="20" t="n"/>
      <c r="H40" s="20" t="n"/>
      <c r="I40" s="21">
        <f>IF(OR(C40="",N(D40)=0),"",C40/D40)</f>
        <v/>
      </c>
      <c r="J40" s="22">
        <f>IF(N(D40)=0,"",ROUNDUP(D40*(N(E40)/7+N(F40)),0))</f>
        <v/>
      </c>
      <c r="K40" s="23">
        <f>IF(J40="","",IF(C40&lt;=J40,"Order now",IF(C40&lt;=J40+2*D40,"Within 2 weeks","OK")))</f>
        <v/>
      </c>
      <c r="L40" s="22">
        <f>IF(K40="OK","",IF(K40="","",MAX(0,ROUNDUP(D40*8+J40-C40,0))))</f>
        <v/>
      </c>
      <c r="M40" s="24">
        <f>IF(OR(H40="",N(H40)=0),"",(H40-N(G40))/H40)</f>
        <v/>
      </c>
      <c r="N40" s="25">
        <f>IF(C40="","",C40*N(G40))</f>
        <v/>
      </c>
    </row>
    <row r="41">
      <c r="A41" s="16" t="n"/>
      <c r="B41" s="17" t="n"/>
      <c r="C41" s="18" t="n"/>
      <c r="D41" s="19" t="n"/>
      <c r="E41" s="18" t="n"/>
      <c r="F41" s="19" t="n">
        <v>2</v>
      </c>
      <c r="G41" s="20" t="n"/>
      <c r="H41" s="20" t="n"/>
      <c r="I41" s="21">
        <f>IF(OR(C41="",N(D41)=0),"",C41/D41)</f>
        <v/>
      </c>
      <c r="J41" s="22">
        <f>IF(N(D41)=0,"",ROUNDUP(D41*(N(E41)/7+N(F41)),0))</f>
        <v/>
      </c>
      <c r="K41" s="23">
        <f>IF(J41="","",IF(C41&lt;=J41,"Order now",IF(C41&lt;=J41+2*D41,"Within 2 weeks","OK")))</f>
        <v/>
      </c>
      <c r="L41" s="22">
        <f>IF(K41="OK","",IF(K41="","",MAX(0,ROUNDUP(D41*8+J41-C41,0))))</f>
        <v/>
      </c>
      <c r="M41" s="24">
        <f>IF(OR(H41="",N(H41)=0),"",(H41-N(G41))/H41)</f>
        <v/>
      </c>
      <c r="N41" s="25">
        <f>IF(C41="","",C41*N(G41))</f>
        <v/>
      </c>
    </row>
    <row r="42">
      <c r="A42" s="16" t="n"/>
      <c r="B42" s="17" t="n"/>
      <c r="C42" s="18" t="n"/>
      <c r="D42" s="19" t="n"/>
      <c r="E42" s="18" t="n"/>
      <c r="F42" s="19" t="n">
        <v>2</v>
      </c>
      <c r="G42" s="20" t="n"/>
      <c r="H42" s="20" t="n"/>
      <c r="I42" s="21">
        <f>IF(OR(C42="",N(D42)=0),"",C42/D42)</f>
        <v/>
      </c>
      <c r="J42" s="22">
        <f>IF(N(D42)=0,"",ROUNDUP(D42*(N(E42)/7+N(F42)),0))</f>
        <v/>
      </c>
      <c r="K42" s="23">
        <f>IF(J42="","",IF(C42&lt;=J42,"Order now",IF(C42&lt;=J42+2*D42,"Within 2 weeks","OK")))</f>
        <v/>
      </c>
      <c r="L42" s="22">
        <f>IF(K42="OK","",IF(K42="","",MAX(0,ROUNDUP(D42*8+J42-C42,0))))</f>
        <v/>
      </c>
      <c r="M42" s="24">
        <f>IF(OR(H42="",N(H42)=0),"",(H42-N(G42))/H42)</f>
        <v/>
      </c>
      <c r="N42" s="25">
        <f>IF(C42="","",C42*N(G42))</f>
        <v/>
      </c>
    </row>
    <row r="43">
      <c r="A43" s="16" t="n"/>
      <c r="B43" s="17" t="n"/>
      <c r="C43" s="18" t="n"/>
      <c r="D43" s="19" t="n"/>
      <c r="E43" s="18" t="n"/>
      <c r="F43" s="19" t="n">
        <v>2</v>
      </c>
      <c r="G43" s="20" t="n"/>
      <c r="H43" s="20" t="n"/>
      <c r="I43" s="21">
        <f>IF(OR(C43="",N(D43)=0),"",C43/D43)</f>
        <v/>
      </c>
      <c r="J43" s="22">
        <f>IF(N(D43)=0,"",ROUNDUP(D43*(N(E43)/7+N(F43)),0))</f>
        <v/>
      </c>
      <c r="K43" s="23">
        <f>IF(J43="","",IF(C43&lt;=J43,"Order now",IF(C43&lt;=J43+2*D43,"Within 2 weeks","OK")))</f>
        <v/>
      </c>
      <c r="L43" s="22">
        <f>IF(K43="OK","",IF(K43="","",MAX(0,ROUNDUP(D43*8+J43-C43,0))))</f>
        <v/>
      </c>
      <c r="M43" s="24">
        <f>IF(OR(H43="",N(H43)=0),"",(H43-N(G43))/H43)</f>
        <v/>
      </c>
      <c r="N43" s="25">
        <f>IF(C43="","",C43*N(G43))</f>
        <v/>
      </c>
    </row>
    <row r="44">
      <c r="A44" s="16" t="n"/>
      <c r="B44" s="17" t="n"/>
      <c r="C44" s="18" t="n"/>
      <c r="D44" s="19" t="n"/>
      <c r="E44" s="18" t="n"/>
      <c r="F44" s="19" t="n">
        <v>2</v>
      </c>
      <c r="G44" s="20" t="n"/>
      <c r="H44" s="20" t="n"/>
      <c r="I44" s="21">
        <f>IF(OR(C44="",N(D44)=0),"",C44/D44)</f>
        <v/>
      </c>
      <c r="J44" s="22">
        <f>IF(N(D44)=0,"",ROUNDUP(D44*(N(E44)/7+N(F44)),0))</f>
        <v/>
      </c>
      <c r="K44" s="23">
        <f>IF(J44="","",IF(C44&lt;=J44,"Order now",IF(C44&lt;=J44+2*D44,"Within 2 weeks","OK")))</f>
        <v/>
      </c>
      <c r="L44" s="22">
        <f>IF(K44="OK","",IF(K44="","",MAX(0,ROUNDUP(D44*8+J44-C44,0))))</f>
        <v/>
      </c>
      <c r="M44" s="24">
        <f>IF(OR(H44="",N(H44)=0),"",(H44-N(G44))/H44)</f>
        <v/>
      </c>
      <c r="N44" s="25">
        <f>IF(C44="","",C44*N(G44))</f>
        <v/>
      </c>
    </row>
    <row r="45">
      <c r="A45" s="16" t="n"/>
      <c r="B45" s="17" t="n"/>
      <c r="C45" s="18" t="n"/>
      <c r="D45" s="19" t="n"/>
      <c r="E45" s="18" t="n"/>
      <c r="F45" s="19" t="n">
        <v>2</v>
      </c>
      <c r="G45" s="20" t="n"/>
      <c r="H45" s="20" t="n"/>
      <c r="I45" s="21">
        <f>IF(OR(C45="",N(D45)=0),"",C45/D45)</f>
        <v/>
      </c>
      <c r="J45" s="22">
        <f>IF(N(D45)=0,"",ROUNDUP(D45*(N(E45)/7+N(F45)),0))</f>
        <v/>
      </c>
      <c r="K45" s="23">
        <f>IF(J45="","",IF(C45&lt;=J45,"Order now",IF(C45&lt;=J45+2*D45,"Within 2 weeks","OK")))</f>
        <v/>
      </c>
      <c r="L45" s="22">
        <f>IF(K45="OK","",IF(K45="","",MAX(0,ROUNDUP(D45*8+J45-C45,0))))</f>
        <v/>
      </c>
      <c r="M45" s="24">
        <f>IF(OR(H45="",N(H45)=0),"",(H45-N(G45))/H45)</f>
        <v/>
      </c>
      <c r="N45" s="25">
        <f>IF(C45="","",C45*N(G45))</f>
        <v/>
      </c>
    </row>
    <row r="46">
      <c r="A46" s="16" t="n"/>
      <c r="B46" s="17" t="n"/>
      <c r="C46" s="18" t="n"/>
      <c r="D46" s="19" t="n"/>
      <c r="E46" s="18" t="n"/>
      <c r="F46" s="19" t="n">
        <v>2</v>
      </c>
      <c r="G46" s="20" t="n"/>
      <c r="H46" s="20" t="n"/>
      <c r="I46" s="21">
        <f>IF(OR(C46="",N(D46)=0),"",C46/D46)</f>
        <v/>
      </c>
      <c r="J46" s="22">
        <f>IF(N(D46)=0,"",ROUNDUP(D46*(N(E46)/7+N(F46)),0))</f>
        <v/>
      </c>
      <c r="K46" s="23">
        <f>IF(J46="","",IF(C46&lt;=J46,"Order now",IF(C46&lt;=J46+2*D46,"Within 2 weeks","OK")))</f>
        <v/>
      </c>
      <c r="L46" s="22">
        <f>IF(K46="OK","",IF(K46="","",MAX(0,ROUNDUP(D46*8+J46-C46,0))))</f>
        <v/>
      </c>
      <c r="M46" s="24">
        <f>IF(OR(H46="",N(H46)=0),"",(H46-N(G46))/H46)</f>
        <v/>
      </c>
      <c r="N46" s="25">
        <f>IF(C46="","",C46*N(G46))</f>
        <v/>
      </c>
    </row>
    <row r="47">
      <c r="A47" s="16" t="n"/>
      <c r="B47" s="17" t="n"/>
      <c r="C47" s="18" t="n"/>
      <c r="D47" s="19" t="n"/>
      <c r="E47" s="18" t="n"/>
      <c r="F47" s="19" t="n">
        <v>2</v>
      </c>
      <c r="G47" s="20" t="n"/>
      <c r="H47" s="20" t="n"/>
      <c r="I47" s="21">
        <f>IF(OR(C47="",N(D47)=0),"",C47/D47)</f>
        <v/>
      </c>
      <c r="J47" s="22">
        <f>IF(N(D47)=0,"",ROUNDUP(D47*(N(E47)/7+N(F47)),0))</f>
        <v/>
      </c>
      <c r="K47" s="23">
        <f>IF(J47="","",IF(C47&lt;=J47,"Order now",IF(C47&lt;=J47+2*D47,"Within 2 weeks","OK")))</f>
        <v/>
      </c>
      <c r="L47" s="22">
        <f>IF(K47="OK","",IF(K47="","",MAX(0,ROUNDUP(D47*8+J47-C47,0))))</f>
        <v/>
      </c>
      <c r="M47" s="24">
        <f>IF(OR(H47="",N(H47)=0),"",(H47-N(G47))/H47)</f>
        <v/>
      </c>
      <c r="N47" s="25">
        <f>IF(C47="","",C47*N(G47))</f>
        <v/>
      </c>
    </row>
    <row r="48">
      <c r="A48" s="16" t="n"/>
      <c r="B48" s="17" t="n"/>
      <c r="C48" s="18" t="n"/>
      <c r="D48" s="19" t="n"/>
      <c r="E48" s="18" t="n"/>
      <c r="F48" s="19" t="n">
        <v>2</v>
      </c>
      <c r="G48" s="20" t="n"/>
      <c r="H48" s="20" t="n"/>
      <c r="I48" s="21">
        <f>IF(OR(C48="",N(D48)=0),"",C48/D48)</f>
        <v/>
      </c>
      <c r="J48" s="22">
        <f>IF(N(D48)=0,"",ROUNDUP(D48*(N(E48)/7+N(F48)),0))</f>
        <v/>
      </c>
      <c r="K48" s="23">
        <f>IF(J48="","",IF(C48&lt;=J48,"Order now",IF(C48&lt;=J48+2*D48,"Within 2 weeks","OK")))</f>
        <v/>
      </c>
      <c r="L48" s="22">
        <f>IF(K48="OK","",IF(K48="","",MAX(0,ROUNDUP(D48*8+J48-C48,0))))</f>
        <v/>
      </c>
      <c r="M48" s="24">
        <f>IF(OR(H48="",N(H48)=0),"",(H48-N(G48))/H48)</f>
        <v/>
      </c>
      <c r="N48" s="25">
        <f>IF(C48="","",C48*N(G48))</f>
        <v/>
      </c>
    </row>
    <row r="49">
      <c r="A49" s="16" t="n"/>
      <c r="B49" s="17" t="n"/>
      <c r="C49" s="18" t="n"/>
      <c r="D49" s="19" t="n"/>
      <c r="E49" s="18" t="n"/>
      <c r="F49" s="19" t="n">
        <v>2</v>
      </c>
      <c r="G49" s="20" t="n"/>
      <c r="H49" s="20" t="n"/>
      <c r="I49" s="21">
        <f>IF(OR(C49="",N(D49)=0),"",C49/D49)</f>
        <v/>
      </c>
      <c r="J49" s="22">
        <f>IF(N(D49)=0,"",ROUNDUP(D49*(N(E49)/7+N(F49)),0))</f>
        <v/>
      </c>
      <c r="K49" s="23">
        <f>IF(J49="","",IF(C49&lt;=J49,"Order now",IF(C49&lt;=J49+2*D49,"Within 2 weeks","OK")))</f>
        <v/>
      </c>
      <c r="L49" s="22">
        <f>IF(K49="OK","",IF(K49="","",MAX(0,ROUNDUP(D49*8+J49-C49,0))))</f>
        <v/>
      </c>
      <c r="M49" s="24">
        <f>IF(OR(H49="",N(H49)=0),"",(H49-N(G49))/H49)</f>
        <v/>
      </c>
      <c r="N49" s="25">
        <f>IF(C49="","",C49*N(G49))</f>
        <v/>
      </c>
    </row>
    <row r="50">
      <c r="A50" s="16" t="n"/>
      <c r="B50" s="17" t="n"/>
      <c r="C50" s="18" t="n"/>
      <c r="D50" s="19" t="n"/>
      <c r="E50" s="18" t="n"/>
      <c r="F50" s="19" t="n">
        <v>2</v>
      </c>
      <c r="G50" s="20" t="n"/>
      <c r="H50" s="20" t="n"/>
      <c r="I50" s="21">
        <f>IF(OR(C50="",N(D50)=0),"",C50/D50)</f>
        <v/>
      </c>
      <c r="J50" s="22">
        <f>IF(N(D50)=0,"",ROUNDUP(D50*(N(E50)/7+N(F50)),0))</f>
        <v/>
      </c>
      <c r="K50" s="23">
        <f>IF(J50="","",IF(C50&lt;=J50,"Order now",IF(C50&lt;=J50+2*D50,"Within 2 weeks","OK")))</f>
        <v/>
      </c>
      <c r="L50" s="22">
        <f>IF(K50="OK","",IF(K50="","",MAX(0,ROUNDUP(D50*8+J50-C50,0))))</f>
        <v/>
      </c>
      <c r="M50" s="24">
        <f>IF(OR(H50="",N(H50)=0),"",(H50-N(G50))/H50)</f>
        <v/>
      </c>
      <c r="N50" s="25">
        <f>IF(C50="","",C50*N(G50))</f>
        <v/>
      </c>
    </row>
    <row r="51">
      <c r="A51" s="16" t="n"/>
      <c r="B51" s="17" t="n"/>
      <c r="C51" s="18" t="n"/>
      <c r="D51" s="19" t="n"/>
      <c r="E51" s="18" t="n"/>
      <c r="F51" s="19" t="n">
        <v>2</v>
      </c>
      <c r="G51" s="20" t="n"/>
      <c r="H51" s="20" t="n"/>
      <c r="I51" s="21">
        <f>IF(OR(C51="",N(D51)=0),"",C51/D51)</f>
        <v/>
      </c>
      <c r="J51" s="22">
        <f>IF(N(D51)=0,"",ROUNDUP(D51*(N(E51)/7+N(F51)),0))</f>
        <v/>
      </c>
      <c r="K51" s="23">
        <f>IF(J51="","",IF(C51&lt;=J51,"Order now",IF(C51&lt;=J51+2*D51,"Within 2 weeks","OK")))</f>
        <v/>
      </c>
      <c r="L51" s="22">
        <f>IF(K51="OK","",IF(K51="","",MAX(0,ROUNDUP(D51*8+J51-C51,0))))</f>
        <v/>
      </c>
      <c r="M51" s="24">
        <f>IF(OR(H51="",N(H51)=0),"",(H51-N(G51))/H51)</f>
        <v/>
      </c>
      <c r="N51" s="25">
        <f>IF(C51="","",C51*N(G51))</f>
        <v/>
      </c>
    </row>
    <row r="52">
      <c r="A52" s="16" t="n"/>
      <c r="B52" s="17" t="n"/>
      <c r="C52" s="18" t="n"/>
      <c r="D52" s="19" t="n"/>
      <c r="E52" s="18" t="n"/>
      <c r="F52" s="19" t="n">
        <v>2</v>
      </c>
      <c r="G52" s="20" t="n"/>
      <c r="H52" s="20" t="n"/>
      <c r="I52" s="21">
        <f>IF(OR(C52="",N(D52)=0),"",C52/D52)</f>
        <v/>
      </c>
      <c r="J52" s="22">
        <f>IF(N(D52)=0,"",ROUNDUP(D52*(N(E52)/7+N(F52)),0))</f>
        <v/>
      </c>
      <c r="K52" s="23">
        <f>IF(J52="","",IF(C52&lt;=J52,"Order now",IF(C52&lt;=J52+2*D52,"Within 2 weeks","OK")))</f>
        <v/>
      </c>
      <c r="L52" s="22">
        <f>IF(K52="OK","",IF(K52="","",MAX(0,ROUNDUP(D52*8+J52-C52,0))))</f>
        <v/>
      </c>
      <c r="M52" s="24">
        <f>IF(OR(H52="",N(H52)=0),"",(H52-N(G52))/H52)</f>
        <v/>
      </c>
      <c r="N52" s="25">
        <f>IF(C52="","",C52*N(G52))</f>
        <v/>
      </c>
    </row>
    <row r="53">
      <c r="A53" s="16" t="n"/>
      <c r="B53" s="17" t="n"/>
      <c r="C53" s="18" t="n"/>
      <c r="D53" s="19" t="n"/>
      <c r="E53" s="18" t="n"/>
      <c r="F53" s="19" t="n">
        <v>2</v>
      </c>
      <c r="G53" s="20" t="n"/>
      <c r="H53" s="20" t="n"/>
      <c r="I53" s="21">
        <f>IF(OR(C53="",N(D53)=0),"",C53/D53)</f>
        <v/>
      </c>
      <c r="J53" s="22">
        <f>IF(N(D53)=0,"",ROUNDUP(D53*(N(E53)/7+N(F53)),0))</f>
        <v/>
      </c>
      <c r="K53" s="23">
        <f>IF(J53="","",IF(C53&lt;=J53,"Order now",IF(C53&lt;=J53+2*D53,"Within 2 weeks","OK")))</f>
        <v/>
      </c>
      <c r="L53" s="22">
        <f>IF(K53="OK","",IF(K53="","",MAX(0,ROUNDUP(D53*8+J53-C53,0))))</f>
        <v/>
      </c>
      <c r="M53" s="24">
        <f>IF(OR(H53="",N(H53)=0),"",(H53-N(G53))/H53)</f>
        <v/>
      </c>
      <c r="N53" s="25">
        <f>IF(C53="","",C53*N(G53))</f>
        <v/>
      </c>
    </row>
    <row r="54">
      <c r="A54" s="16" t="n"/>
      <c r="B54" s="17" t="n"/>
      <c r="C54" s="18" t="n"/>
      <c r="D54" s="19" t="n"/>
      <c r="E54" s="18" t="n"/>
      <c r="F54" s="19" t="n">
        <v>2</v>
      </c>
      <c r="G54" s="20" t="n"/>
      <c r="H54" s="20" t="n"/>
      <c r="I54" s="21">
        <f>IF(OR(C54="",N(D54)=0),"",C54/D54)</f>
        <v/>
      </c>
      <c r="J54" s="22">
        <f>IF(N(D54)=0,"",ROUNDUP(D54*(N(E54)/7+N(F54)),0))</f>
        <v/>
      </c>
      <c r="K54" s="23">
        <f>IF(J54="","",IF(C54&lt;=J54,"Order now",IF(C54&lt;=J54+2*D54,"Within 2 weeks","OK")))</f>
        <v/>
      </c>
      <c r="L54" s="22">
        <f>IF(K54="OK","",IF(K54="","",MAX(0,ROUNDUP(D54*8+J54-C54,0))))</f>
        <v/>
      </c>
      <c r="M54" s="24">
        <f>IF(OR(H54="",N(H54)=0),"",(H54-N(G54))/H54)</f>
        <v/>
      </c>
      <c r="N54" s="25">
        <f>IF(C54="","",C54*N(G54))</f>
        <v/>
      </c>
    </row>
    <row r="55">
      <c r="A55" s="16" t="n"/>
      <c r="B55" s="17" t="n"/>
      <c r="C55" s="18" t="n"/>
      <c r="D55" s="19" t="n"/>
      <c r="E55" s="18" t="n"/>
      <c r="F55" s="19" t="n">
        <v>2</v>
      </c>
      <c r="G55" s="20" t="n"/>
      <c r="H55" s="20" t="n"/>
      <c r="I55" s="21">
        <f>IF(OR(C55="",N(D55)=0),"",C55/D55)</f>
        <v/>
      </c>
      <c r="J55" s="22">
        <f>IF(N(D55)=0,"",ROUNDUP(D55*(N(E55)/7+N(F55)),0))</f>
        <v/>
      </c>
      <c r="K55" s="23">
        <f>IF(J55="","",IF(C55&lt;=J55,"Order now",IF(C55&lt;=J55+2*D55,"Within 2 weeks","OK")))</f>
        <v/>
      </c>
      <c r="L55" s="22">
        <f>IF(K55="OK","",IF(K55="","",MAX(0,ROUNDUP(D55*8+J55-C55,0))))</f>
        <v/>
      </c>
      <c r="M55" s="24">
        <f>IF(OR(H55="",N(H55)=0),"",(H55-N(G55))/H55)</f>
        <v/>
      </c>
      <c r="N55" s="25">
        <f>IF(C55="","",C55*N(G55))</f>
        <v/>
      </c>
    </row>
    <row r="56">
      <c r="A56" s="16" t="n"/>
      <c r="B56" s="17" t="n"/>
      <c r="C56" s="18" t="n"/>
      <c r="D56" s="19" t="n"/>
      <c r="E56" s="18" t="n"/>
      <c r="F56" s="19" t="n">
        <v>2</v>
      </c>
      <c r="G56" s="20" t="n"/>
      <c r="H56" s="20" t="n"/>
      <c r="I56" s="21">
        <f>IF(OR(C56="",N(D56)=0),"",C56/D56)</f>
        <v/>
      </c>
      <c r="J56" s="22">
        <f>IF(N(D56)=0,"",ROUNDUP(D56*(N(E56)/7+N(F56)),0))</f>
        <v/>
      </c>
      <c r="K56" s="23">
        <f>IF(J56="","",IF(C56&lt;=J56,"Order now",IF(C56&lt;=J56+2*D56,"Within 2 weeks","OK")))</f>
        <v/>
      </c>
      <c r="L56" s="22">
        <f>IF(K56="OK","",IF(K56="","",MAX(0,ROUNDUP(D56*8+J56-C56,0))))</f>
        <v/>
      </c>
      <c r="M56" s="24">
        <f>IF(OR(H56="",N(H56)=0),"",(H56-N(G56))/H56)</f>
        <v/>
      </c>
      <c r="N56" s="25">
        <f>IF(C56="","",C56*N(G56))</f>
        <v/>
      </c>
    </row>
    <row r="57">
      <c r="A57" s="16" t="n"/>
      <c r="B57" s="17" t="n"/>
      <c r="C57" s="18" t="n"/>
      <c r="D57" s="19" t="n"/>
      <c r="E57" s="18" t="n"/>
      <c r="F57" s="19" t="n">
        <v>2</v>
      </c>
      <c r="G57" s="20" t="n"/>
      <c r="H57" s="20" t="n"/>
      <c r="I57" s="21">
        <f>IF(OR(C57="",N(D57)=0),"",C57/D57)</f>
        <v/>
      </c>
      <c r="J57" s="22">
        <f>IF(N(D57)=0,"",ROUNDUP(D57*(N(E57)/7+N(F57)),0))</f>
        <v/>
      </c>
      <c r="K57" s="23">
        <f>IF(J57="","",IF(C57&lt;=J57,"Order now",IF(C57&lt;=J57+2*D57,"Within 2 weeks","OK")))</f>
        <v/>
      </c>
      <c r="L57" s="22">
        <f>IF(K57="OK","",IF(K57="","",MAX(0,ROUNDUP(D57*8+J57-C57,0))))</f>
        <v/>
      </c>
      <c r="M57" s="24">
        <f>IF(OR(H57="",N(H57)=0),"",(H57-N(G57))/H57)</f>
        <v/>
      </c>
      <c r="N57" s="25">
        <f>IF(C57="","",C57*N(G57))</f>
        <v/>
      </c>
    </row>
    <row r="58">
      <c r="A58" s="16" t="n"/>
      <c r="B58" s="17" t="n"/>
      <c r="C58" s="18" t="n"/>
      <c r="D58" s="19" t="n"/>
      <c r="E58" s="18" t="n"/>
      <c r="F58" s="19" t="n">
        <v>2</v>
      </c>
      <c r="G58" s="20" t="n"/>
      <c r="H58" s="20" t="n"/>
      <c r="I58" s="21">
        <f>IF(OR(C58="",N(D58)=0),"",C58/D58)</f>
        <v/>
      </c>
      <c r="J58" s="22">
        <f>IF(N(D58)=0,"",ROUNDUP(D58*(N(E58)/7+N(F58)),0))</f>
        <v/>
      </c>
      <c r="K58" s="23">
        <f>IF(J58="","",IF(C58&lt;=J58,"Order now",IF(C58&lt;=J58+2*D58,"Within 2 weeks","OK")))</f>
        <v/>
      </c>
      <c r="L58" s="22">
        <f>IF(K58="OK","",IF(K58="","",MAX(0,ROUNDUP(D58*8+J58-C58,0))))</f>
        <v/>
      </c>
      <c r="M58" s="24">
        <f>IF(OR(H58="",N(H58)=0),"",(H58-N(G58))/H58)</f>
        <v/>
      </c>
      <c r="N58" s="25">
        <f>IF(C58="","",C58*N(G58))</f>
        <v/>
      </c>
    </row>
    <row r="59">
      <c r="A59" s="16" t="n"/>
      <c r="B59" s="17" t="n"/>
      <c r="C59" s="18" t="n"/>
      <c r="D59" s="19" t="n"/>
      <c r="E59" s="18" t="n"/>
      <c r="F59" s="19" t="n">
        <v>2</v>
      </c>
      <c r="G59" s="20" t="n"/>
      <c r="H59" s="20" t="n"/>
      <c r="I59" s="21">
        <f>IF(OR(C59="",N(D59)=0),"",C59/D59)</f>
        <v/>
      </c>
      <c r="J59" s="22">
        <f>IF(N(D59)=0,"",ROUNDUP(D59*(N(E59)/7+N(F59)),0))</f>
        <v/>
      </c>
      <c r="K59" s="23">
        <f>IF(J59="","",IF(C59&lt;=J59,"Order now",IF(C59&lt;=J59+2*D59,"Within 2 weeks","OK")))</f>
        <v/>
      </c>
      <c r="L59" s="22">
        <f>IF(K59="OK","",IF(K59="","",MAX(0,ROUNDUP(D59*8+J59-C59,0))))</f>
        <v/>
      </c>
      <c r="M59" s="24">
        <f>IF(OR(H59="",N(H59)=0),"",(H59-N(G59))/H59)</f>
        <v/>
      </c>
      <c r="N59" s="25">
        <f>IF(C59="","",C59*N(G59))</f>
        <v/>
      </c>
    </row>
    <row r="60">
      <c r="A60" s="16" t="n"/>
      <c r="B60" s="17" t="n"/>
      <c r="C60" s="18" t="n"/>
      <c r="D60" s="19" t="n"/>
      <c r="E60" s="18" t="n"/>
      <c r="F60" s="19" t="n">
        <v>2</v>
      </c>
      <c r="G60" s="20" t="n"/>
      <c r="H60" s="20" t="n"/>
      <c r="I60" s="21">
        <f>IF(OR(C60="",N(D60)=0),"",C60/D60)</f>
        <v/>
      </c>
      <c r="J60" s="22">
        <f>IF(N(D60)=0,"",ROUNDUP(D60*(N(E60)/7+N(F60)),0))</f>
        <v/>
      </c>
      <c r="K60" s="23">
        <f>IF(J60="","",IF(C60&lt;=J60,"Order now",IF(C60&lt;=J60+2*D60,"Within 2 weeks","OK")))</f>
        <v/>
      </c>
      <c r="L60" s="22">
        <f>IF(K60="OK","",IF(K60="","",MAX(0,ROUNDUP(D60*8+J60-C60,0))))</f>
        <v/>
      </c>
      <c r="M60" s="24">
        <f>IF(OR(H60="",N(H60)=0),"",(H60-N(G60))/H60)</f>
        <v/>
      </c>
      <c r="N60" s="25">
        <f>IF(C60="","",C60*N(G60))</f>
        <v/>
      </c>
    </row>
    <row r="61">
      <c r="A61" s="16" t="n"/>
      <c r="B61" s="17" t="n"/>
      <c r="C61" s="18" t="n"/>
      <c r="D61" s="19" t="n"/>
      <c r="E61" s="18" t="n"/>
      <c r="F61" s="19" t="n">
        <v>2</v>
      </c>
      <c r="G61" s="20" t="n"/>
      <c r="H61" s="20" t="n"/>
      <c r="I61" s="21">
        <f>IF(OR(C61="",N(D61)=0),"",C61/D61)</f>
        <v/>
      </c>
      <c r="J61" s="22">
        <f>IF(N(D61)=0,"",ROUNDUP(D61*(N(E61)/7+N(F61)),0))</f>
        <v/>
      </c>
      <c r="K61" s="23">
        <f>IF(J61="","",IF(C61&lt;=J61,"Order now",IF(C61&lt;=J61+2*D61,"Within 2 weeks","OK")))</f>
        <v/>
      </c>
      <c r="L61" s="22">
        <f>IF(K61="OK","",IF(K61="","",MAX(0,ROUNDUP(D61*8+J61-C61,0))))</f>
        <v/>
      </c>
      <c r="M61" s="24">
        <f>IF(OR(H61="",N(H61)=0),"",(H61-N(G61))/H61)</f>
        <v/>
      </c>
      <c r="N61" s="25">
        <f>IF(C61="","",C61*N(G61))</f>
        <v/>
      </c>
    </row>
    <row r="62">
      <c r="A62" s="16" t="n"/>
      <c r="B62" s="17" t="n"/>
      <c r="C62" s="18" t="n"/>
      <c r="D62" s="19" t="n"/>
      <c r="E62" s="18" t="n"/>
      <c r="F62" s="19" t="n">
        <v>2</v>
      </c>
      <c r="G62" s="20" t="n"/>
      <c r="H62" s="20" t="n"/>
      <c r="I62" s="21">
        <f>IF(OR(C62="",N(D62)=0),"",C62/D62)</f>
        <v/>
      </c>
      <c r="J62" s="22">
        <f>IF(N(D62)=0,"",ROUNDUP(D62*(N(E62)/7+N(F62)),0))</f>
        <v/>
      </c>
      <c r="K62" s="23">
        <f>IF(J62="","",IF(C62&lt;=J62,"Order now",IF(C62&lt;=J62+2*D62,"Within 2 weeks","OK")))</f>
        <v/>
      </c>
      <c r="L62" s="22">
        <f>IF(K62="OK","",IF(K62="","",MAX(0,ROUNDUP(D62*8+J62-C62,0))))</f>
        <v/>
      </c>
      <c r="M62" s="24">
        <f>IF(OR(H62="",N(H62)=0),"",(H62-N(G62))/H62)</f>
        <v/>
      </c>
      <c r="N62" s="25">
        <f>IF(C62="","",C62*N(G62))</f>
        <v/>
      </c>
    </row>
    <row r="63">
      <c r="A63" s="16" t="n"/>
      <c r="B63" s="17" t="n"/>
      <c r="C63" s="18" t="n"/>
      <c r="D63" s="19" t="n"/>
      <c r="E63" s="18" t="n"/>
      <c r="F63" s="19" t="n">
        <v>2</v>
      </c>
      <c r="G63" s="20" t="n"/>
      <c r="H63" s="20" t="n"/>
      <c r="I63" s="21">
        <f>IF(OR(C63="",N(D63)=0),"",C63/D63)</f>
        <v/>
      </c>
      <c r="J63" s="22">
        <f>IF(N(D63)=0,"",ROUNDUP(D63*(N(E63)/7+N(F63)),0))</f>
        <v/>
      </c>
      <c r="K63" s="23">
        <f>IF(J63="","",IF(C63&lt;=J63,"Order now",IF(C63&lt;=J63+2*D63,"Within 2 weeks","OK")))</f>
        <v/>
      </c>
      <c r="L63" s="22">
        <f>IF(K63="OK","",IF(K63="","",MAX(0,ROUNDUP(D63*8+J63-C63,0))))</f>
        <v/>
      </c>
      <c r="M63" s="24">
        <f>IF(OR(H63="",N(H63)=0),"",(H63-N(G63))/H63)</f>
        <v/>
      </c>
      <c r="N63" s="25">
        <f>IF(C63="","",C63*N(G63))</f>
        <v/>
      </c>
    </row>
  </sheetData>
  <autoFilter ref="A3:N63"/>
  <conditionalFormatting sqref="K4:K63">
    <cfRule type="expression" priority="1" dxfId="0" stopIfTrue="0">
      <formula>$K4="Order now"</formula>
    </cfRule>
    <cfRule type="expression" priority="2" dxfId="1" stopIfTrue="0">
      <formula>$K4="Within 2 weeks"</formula>
    </cfRule>
    <cfRule type="expression" priority="3" dxfId="2" stopIfTrue="0">
      <formula>$K4="OK"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2" t="inlineStr">
        <is>
          <t>Stock summary</t>
        </is>
      </c>
    </row>
    <row r="2">
      <c r="A2" s="13" t="inlineStr">
        <is>
          <t>Calculated from the Stock tab.</t>
        </is>
      </c>
    </row>
    <row r="4">
      <c r="A4" s="1" t="inlineStr">
        <is>
          <t>THIS WEEK</t>
        </is>
      </c>
    </row>
    <row r="5">
      <c r="A5" s="26" t="inlineStr">
        <is>
          <t>Products to order now</t>
        </is>
      </c>
      <c r="B5" s="27">
        <f>COUNTIF('Stock'!$K$4:$K$63,"Order now")</f>
        <v/>
      </c>
    </row>
    <row r="6">
      <c r="A6" s="28" t="inlineStr">
        <is>
          <t>Products to order within 2 weeks</t>
        </is>
      </c>
      <c r="B6" s="29">
        <f>COUNTIF('Stock'!$K$4:$K$63,"Within 2 weeks")</f>
        <v/>
      </c>
    </row>
    <row r="7">
      <c r="A7" s="28" t="inlineStr">
        <is>
          <t>Stock value at cost ($)</t>
        </is>
      </c>
      <c r="B7" s="30">
        <f>SUM('Stock'!$N$4:$N$63)</f>
        <v/>
      </c>
    </row>
    <row r="8">
      <c r="A8" s="28" t="inlineStr">
        <is>
          <t>Units sold per week, all products</t>
        </is>
      </c>
      <c r="B8" s="31">
        <f>SUM('Stock'!$D$4:$D$63)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Inventory and Reorder</dc:title>
  <dcterms:created xmlns:dcterms="http://purl.org/dc/terms/" xmlns:xsi="http://www.w3.org/2001/XMLSchema-instance" xsi:type="dcterms:W3CDTF">2026-10-20T03:40:04Z</dcterms:created>
  <dcterms:modified xmlns:dcterms="http://purl.org/dc/terms/" xmlns:xsi="http://www.w3.org/2001/XMLSchema-instance" xsi:type="dcterms:W3CDTF">2026-10-20T03:40:04Z</dcterms:modified>
</cp:coreProperties>
</file>