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Setup" sheetId="2" state="visible" r:id="rId2"/>
    <sheet xmlns:r="http://schemas.openxmlformats.org/officeDocument/2006/relationships" name="Calendar" sheetId="3" state="visible" r:id="rId3"/>
    <sheet xmlns:r="http://schemas.openxmlformats.org/officeDocument/2006/relationships" name="Formats" sheetId="4" state="visible" r:id="rId4"/>
  </sheets>
  <definedNames>
    <definedName name="_xlnm._FilterDatabase" localSheetId="2" hidden="1">'Calendar'!$A$3:$N$33</definedName>
    <definedName name="_xlnm.Print_Titles" localSheetId="2">'Calendar'!$3:$3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mmm d, yyyy"/>
    <numFmt numFmtId="165" formatCode="ddd, mmm d"/>
  </numFmts>
  <fonts count="14">
    <font>
      <name val="Calibri"/>
      <family val="2"/>
      <color theme="1"/>
      <sz val="11"/>
      <scheme val="minor"/>
    </font>
    <font>
      <name val="Arial"/>
      <b val="1"/>
      <color rgb="007B7B86"/>
      <sz val="9"/>
    </font>
    <font>
      <name val="Arial"/>
      <b val="1"/>
      <color rgb="00060607"/>
      <sz val="22"/>
    </font>
    <font>
      <name val="Arial"/>
      <color rgb="005A5A66"/>
      <sz val="11"/>
    </font>
    <font>
      <name val="Arial"/>
      <b val="1"/>
      <color rgb="001B1B20"/>
      <sz val="10"/>
    </font>
    <font>
      <name val="Arial"/>
      <color rgb="001B1B20"/>
      <sz val="11"/>
    </font>
    <font>
      <name val="Arial"/>
      <color rgb="001B1B20"/>
      <sz val="10"/>
    </font>
    <font>
      <name val="Arial"/>
      <color rgb="005A5A66"/>
      <sz val="10"/>
    </font>
    <font>
      <name val="Arial"/>
      <i val="1"/>
      <color rgb="005A5A66"/>
      <sz val="10"/>
    </font>
    <font>
      <name val="Arial"/>
      <color rgb="007B7B86"/>
      <sz val="8"/>
    </font>
    <font>
      <name val="Arial"/>
      <b val="1"/>
      <color rgb="00060607"/>
      <sz val="14"/>
    </font>
    <font>
      <name val="Arial"/>
      <color rgb="007B7B86"/>
      <sz val="9"/>
    </font>
    <font>
      <name val="Arial"/>
      <b val="1"/>
      <color rgb="00FFFFFF"/>
      <sz val="9"/>
    </font>
    <font>
      <name val="Arial"/>
      <color rgb="003A3A44"/>
      <sz val="10"/>
    </font>
  </fonts>
  <fills count="7">
    <fill>
      <patternFill/>
    </fill>
    <fill>
      <patternFill patternType="gray125"/>
    </fill>
    <fill>
      <patternFill patternType="solid">
        <fgColor rgb="00ECEEFB"/>
        <bgColor rgb="00ECEEFB"/>
      </patternFill>
    </fill>
    <fill>
      <patternFill patternType="solid">
        <fgColor rgb="00FFFFFF"/>
        <bgColor rgb="00FFFFFF"/>
      </patternFill>
    </fill>
    <fill>
      <patternFill patternType="solid">
        <fgColor rgb="00F2F2F5"/>
        <bgColor rgb="00F2F2F5"/>
      </patternFill>
    </fill>
    <fill>
      <patternFill patternType="solid">
        <fgColor rgb="00060607"/>
        <bgColor rgb="00060607"/>
      </patternFill>
    </fill>
    <fill>
      <patternFill patternType="solid">
        <fgColor rgb="002B2B33"/>
        <bgColor rgb="002B2B33"/>
      </patternFill>
    </fill>
  </fills>
  <borders count="4">
    <border>
      <left/>
      <right/>
      <top/>
      <bottom/>
      <diagonal/>
    </border>
    <border>
      <left style="thin">
        <color rgb="00D9D9DE"/>
      </left>
      <right style="thin">
        <color rgb="00D9D9DE"/>
      </right>
      <top style="thin">
        <color rgb="00D9D9DE"/>
      </top>
      <bottom style="thin">
        <color rgb="00D9D9DE"/>
      </bottom>
    </border>
    <border>
      <bottom style="thin">
        <color rgb="00D9D9DE"/>
      </bottom>
    </border>
    <border>
      <left style="thin">
        <color rgb="003A3A44"/>
      </left>
      <right style="thin">
        <color rgb="003A3A44"/>
      </right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wrapText="1"/>
    </xf>
    <xf numFmtId="0" fontId="5" fillId="0" borderId="0" applyAlignment="1" pivotButton="0" quotePrefix="0" xfId="0">
      <alignment vertical="top" wrapText="1"/>
    </xf>
    <xf numFmtId="0" fontId="6" fillId="3" borderId="1" pivotButton="0" quotePrefix="0" xfId="0"/>
    <xf numFmtId="0" fontId="6" fillId="4" borderId="1" pivotButton="0" quotePrefix="0" xfId="0"/>
    <xf numFmtId="0" fontId="6" fillId="2" borderId="1" pivotButton="0" quotePrefix="0" xfId="0"/>
    <xf numFmtId="0" fontId="7" fillId="0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4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6" fillId="0" borderId="2" applyAlignment="1" pivotButton="0" quotePrefix="0" xfId="0">
      <alignment vertical="top" wrapText="1"/>
    </xf>
    <xf numFmtId="164" fontId="6" fillId="3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12" fillId="5" borderId="3" applyAlignment="1" pivotButton="0" quotePrefix="0" xfId="0">
      <alignment horizontal="left" vertical="center" wrapText="1"/>
    </xf>
    <xf numFmtId="0" fontId="12" fillId="6" borderId="3" applyAlignment="1" pivotButton="0" quotePrefix="0" xfId="0">
      <alignment horizontal="left" vertical="center" wrapText="1"/>
    </xf>
    <xf numFmtId="0" fontId="6" fillId="3" borderId="1" applyAlignment="1" pivotButton="0" quotePrefix="0" xfId="0">
      <alignment vertical="top"/>
    </xf>
    <xf numFmtId="165" fontId="13" fillId="4" borderId="1" applyAlignment="1" pivotButton="0" quotePrefix="0" xfId="0">
      <alignment vertical="top"/>
    </xf>
    <xf numFmtId="0" fontId="13" fillId="4" borderId="1" applyAlignment="1" pivotButton="0" quotePrefix="0" xfId="0">
      <alignment vertical="top"/>
    </xf>
    <xf numFmtId="3" fontId="6" fillId="3" borderId="1" applyAlignment="1" pivotButton="0" quotePrefix="0" xfId="0">
      <alignment vertical="top"/>
    </xf>
    <xf numFmtId="3" fontId="6" fillId="4" borderId="1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2F2F5"/>
          <bgColor rgb="00F2F2F5"/>
        </patternFill>
      </fill>
    </dxf>
    <dxf>
      <font>
        <name val="Arial"/>
        <b val="1"/>
      </font>
      <fill>
        <patternFill patternType="solid">
          <fgColor rgb="00DDF3E7"/>
          <bgColor rgb="00DDF3E7"/>
        </patternFill>
      </fill>
    </dxf>
    <dxf>
      <fill>
        <patternFill patternType="solid">
          <fgColor rgb="00DDF3E7"/>
          <bgColor rgb="00DDF3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2"/>
  <sheetViews>
    <sheetView showGridLines="0" tabSelected="1" workbookViewId="0">
      <selection activeCell="A1" sqref="A1"/>
    </sheetView>
  </sheetViews>
  <sheetFormatPr baseColWidth="8" defaultRowHeight="15"/>
  <cols>
    <col width="3" customWidth="1" min="1" max="1"/>
    <col width="96" customWidth="1" min="2" max="2"/>
  </cols>
  <sheetData>
    <row r="2">
      <c r="B2" s="1" t="inlineStr">
        <is>
          <t>127  ·  GROW TRACK  ·  FREE</t>
        </is>
      </c>
    </row>
    <row r="3" ht="34" customHeight="1">
      <c r="B3" s="2" t="inlineStr">
        <is>
          <t>30-Day Content Planner  (filled example)</t>
        </is>
      </c>
    </row>
    <row r="4" ht="30" customHeight="1">
      <c r="B4" s="3" t="inlineStr">
        <is>
          <t>Three pillars, one platform and a posting rhythm you can keep, laid out over 30 dated days, with a tracker that tells you which format hits.</t>
        </is>
      </c>
    </row>
    <row r="6" ht="30" customHeight="1">
      <c r="B6" s="4" t="inlineStr">
        <is>
          <t>This copy is filled in with a made-up example so you can see what good looks like. Use the blank file for your own business.</t>
        </is>
      </c>
    </row>
    <row r="8">
      <c r="B8" s="1" t="inlineStr">
        <is>
          <t>HOW TO USE IT</t>
        </is>
      </c>
    </row>
    <row r="9" ht="32" customHeight="1">
      <c r="B9" s="5" t="inlineStr">
        <is>
          <t>1.  Open Setup. Write your three pillars: one that teaches, one that shows proof, one that shows you.</t>
        </is>
      </c>
    </row>
    <row r="10" ht="32" customHeight="1">
      <c r="B10" s="5" t="inlineStr">
        <is>
          <t>2.  Pick one main platform, your rhythm (5 or 3 days a week) and your Day 1 date. Every date and pillar fills in.</t>
        </is>
      </c>
    </row>
    <row r="11" ht="16" customHeight="1">
      <c r="B11" s="5" t="inlineStr">
        <is>
          <t>3.  Block a two-hour batching slot on your calendar. Write it in Setup.</t>
        </is>
      </c>
    </row>
    <row r="12" ht="32" customHeight="1">
      <c r="B12" s="5" t="inlineStr">
        <is>
          <t>4.  In Calendar, fill week one completely: hook, topic, format, CTA. Weeks two to four get topics only.</t>
        </is>
      </c>
    </row>
    <row r="13" ht="16" customHeight="1">
      <c r="B13" s="5" t="inlineStr">
        <is>
          <t>5.  48 hours after each post, log views, saves and shares, comments and DMs.</t>
        </is>
      </c>
    </row>
    <row r="14" ht="16" customHeight="1">
      <c r="B14" s="5" t="inlineStr">
        <is>
          <t>6.  Open Formats each week. Reuse the format that wins on DMs and comments, not just views.</t>
        </is>
      </c>
    </row>
    <row r="15" ht="16" customHeight="1">
      <c r="B15" s="5" t="inlineStr">
        <is>
          <t>7.  Day 29: remake your best post a new way. Day 30: plan next month. Keep, cut, test.</t>
        </is>
      </c>
    </row>
    <row r="17">
      <c r="B17" s="1" t="inlineStr">
        <is>
          <t>CELL COLORS</t>
        </is>
      </c>
    </row>
    <row r="18">
      <c r="B18" s="6" t="inlineStr">
        <is>
          <t>White cells: you type here.</t>
        </is>
      </c>
    </row>
    <row r="19">
      <c r="B19" s="7" t="inlineStr">
        <is>
          <t>Grey cells: calculated for you. Leave them alone.</t>
        </is>
      </c>
    </row>
    <row r="20">
      <c r="B20" s="8" t="inlineStr">
        <is>
          <t>Lilac cells: the answer you came for.</t>
        </is>
      </c>
    </row>
    <row r="22">
      <c r="B22" s="1" t="inlineStr">
        <is>
          <t>OPEN IT ANYWHERE</t>
        </is>
      </c>
    </row>
    <row r="23" ht="30" customHeight="1">
      <c r="B23" s="9" t="inlineStr">
        <is>
          <t>Google Sheets: go to sheets.new, then File &gt; Import &gt; Upload this file &gt; Replace spreadsheet. Formulas and dropdowns come with it.</t>
        </is>
      </c>
    </row>
    <row r="24" ht="15" customHeight="1">
      <c r="B24" s="9" t="inlineStr">
        <is>
          <t>Excel: double-click the file. Numbers on a Mac: open it with Numbers.</t>
        </is>
      </c>
    </row>
    <row r="25" ht="15" customHeight="1">
      <c r="B25" s="9" t="inlineStr">
        <is>
          <t>Phone: upload it to Google Drive, then open it in the Google Sheets app.</t>
        </is>
      </c>
    </row>
    <row r="27" ht="15" customHeight="1">
      <c r="B27" s="10" t="inlineStr">
        <is>
          <t>Give a format at least three tries before you judge it. One post is noise.</t>
        </is>
      </c>
    </row>
    <row r="29" ht="15" customHeight="1">
      <c r="B29" s="10" t="inlineStr">
        <is>
          <t>Do more of what works, not just more.</t>
        </is>
      </c>
    </row>
    <row r="31">
      <c r="B31" s="11" t="inlineStr">
        <is>
          <t>Make today day one.  ·  127group.io</t>
        </is>
      </c>
    </row>
    <row r="32">
      <c r="B32" s="12" t="inlineStr">
        <is>
          <t>Template drafted from Eli Christiansen's frameworks. © 127 Group LLC. For your own business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tabSelected="0" workbookViewId="0">
      <selection activeCell="A1" sqref="A1"/>
    </sheetView>
  </sheetViews>
  <sheetFormatPr baseColWidth="8" defaultRowHeight="15"/>
  <cols>
    <col width="50" customWidth="1" min="1" max="1"/>
    <col width="60" customWidth="1" min="2" max="2"/>
  </cols>
  <sheetData>
    <row r="1" ht="26" customHeight="1">
      <c r="A1" s="13" t="inlineStr">
        <is>
          <t>Set up your month</t>
        </is>
      </c>
    </row>
    <row r="2">
      <c r="A2" s="14" t="inlineStr">
        <is>
          <t>Fill this first. The Calendar tab builds itself from it.</t>
        </is>
      </c>
    </row>
    <row r="4">
      <c r="A4" s="1" t="inlineStr">
        <is>
          <t>YOUR PLAN</t>
        </is>
      </c>
    </row>
    <row r="5">
      <c r="A5" s="15" t="inlineStr">
        <is>
          <t>Day 1 date</t>
        </is>
      </c>
      <c r="B5" s="16">
        <f>DATE(2026,11,2)</f>
        <v/>
      </c>
    </row>
    <row r="6">
      <c r="A6" s="15" t="inlineStr">
        <is>
          <t>Main platform</t>
        </is>
      </c>
      <c r="B6" s="17" t="inlineStr">
        <is>
          <t>Instagram</t>
        </is>
      </c>
    </row>
    <row r="7">
      <c r="A7" s="15" t="inlineStr">
        <is>
          <t>Rhythm</t>
        </is>
      </c>
      <c r="B7" s="17" t="inlineStr">
        <is>
          <t>5 days a week</t>
        </is>
      </c>
    </row>
    <row r="8" ht="30" customHeight="1">
      <c r="A8" s="15" t="inlineStr">
        <is>
          <t>Pillar 1, Teach: what will you teach?</t>
        </is>
      </c>
      <c r="B8" s="17" t="inlineStr">
        <is>
          <t>How to get creases and stains out at home</t>
        </is>
      </c>
    </row>
    <row r="9" ht="30" customHeight="1">
      <c r="A9" s="15" t="inlineStr">
        <is>
          <t>Pillar 2, Proof: what proof will you show?</t>
        </is>
      </c>
      <c r="B9" s="17" t="inlineStr">
        <is>
          <t>Before and after clips of real pairs</t>
        </is>
      </c>
    </row>
    <row r="10" ht="30" customHeight="1">
      <c r="A10" s="15" t="inlineStr">
        <is>
          <t>Pillar 3, You: what part of your story will you share?</t>
        </is>
      </c>
      <c r="B10" s="17" t="inlineStr">
        <is>
          <t>Building this between classes, the wins and the pairs that went wrong</t>
        </is>
      </c>
    </row>
    <row r="11">
      <c r="A11" s="15" t="inlineStr">
        <is>
          <t>Your weekly two-hour batching slot</t>
        </is>
      </c>
      <c r="B11" s="17" t="inlineStr">
        <is>
          <t>Sunday 4 to 6 pm</t>
        </is>
      </c>
    </row>
    <row r="12" ht="44" customHeight="1">
      <c r="A12" s="15" t="inlineStr">
        <is>
          <t>The format you will test first, and why</t>
        </is>
      </c>
      <c r="B12" s="17" t="inlineStr">
        <is>
          <t>Voiceover on a before and after, because results are my strongest proof</t>
        </is>
      </c>
    </row>
  </sheetData>
  <dataValidations count="2">
    <dataValidation sqref="B6" showDropDown="0" showInputMessage="0" showErrorMessage="0" allowBlank="1" type="list">
      <formula1>"TikTok,Instagram,YouTube Shorts,LinkedIn,X"</formula1>
    </dataValidation>
    <dataValidation sqref="B7" showDropDown="0" showInputMessage="0" showErrorMessage="0" allowBlank="1" type="list">
      <formula1>"5 days a week,3 days a week"</formula1>
    </dataValidation>
  </dataValidations>
  <pageMargins left="0.75" right="0.75" top="1" bottom="1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33"/>
  <sheetViews>
    <sheetView showGridLines="0" tabSelected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4" customWidth="1" min="3" max="3"/>
    <col width="30" customWidth="1" min="4" max="4"/>
    <col width="24" customWidth="1" min="5" max="5"/>
    <col width="18" customWidth="1" min="6" max="6"/>
    <col width="20" customWidth="1" min="7" max="7"/>
    <col width="11" customWidth="1" min="8" max="8"/>
    <col width="14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 ht="26" customHeight="1">
      <c r="A1" s="13" t="inlineStr">
        <is>
          <t>30-Day Content Planner</t>
        </is>
      </c>
    </row>
    <row r="2" ht="16" customHeight="1">
      <c r="A2" s="14" t="inlineStr">
        <is>
          <t>Week 1 in full. Weeks 2 to 4: topics only, then sharpen as you learn what hits.</t>
        </is>
      </c>
    </row>
    <row r="3" ht="40" customHeight="1">
      <c r="A3" s="18" t="inlineStr">
        <is>
          <t>Day</t>
        </is>
      </c>
      <c r="B3" s="19" t="inlineStr">
        <is>
          <t>Date</t>
        </is>
      </c>
      <c r="C3" s="19" t="inlineStr">
        <is>
          <t>Pillar</t>
        </is>
      </c>
      <c r="D3" s="18" t="inlineStr">
        <is>
          <t>Hook (first two seconds)</t>
        </is>
      </c>
      <c r="E3" s="18" t="inlineStr">
        <is>
          <t>Topic</t>
        </is>
      </c>
      <c r="F3" s="18" t="inlineStr">
        <is>
          <t>Format</t>
        </is>
      </c>
      <c r="G3" s="18" t="inlineStr">
        <is>
          <t>Call to action</t>
        </is>
      </c>
      <c r="H3" s="18" t="inlineStr">
        <is>
          <t>Status</t>
        </is>
      </c>
      <c r="I3" s="18" t="inlineStr">
        <is>
          <t>Link</t>
        </is>
      </c>
      <c r="J3" s="18" t="inlineStr">
        <is>
          <t>Views (48h)</t>
        </is>
      </c>
      <c r="K3" s="18" t="inlineStr">
        <is>
          <t>Saves + shares</t>
        </is>
      </c>
      <c r="L3" s="18" t="inlineStr">
        <is>
          <t>Comments</t>
        </is>
      </c>
      <c r="M3" s="18" t="inlineStr">
        <is>
          <t>DMs or profile visits</t>
        </is>
      </c>
      <c r="N3" s="19" t="inlineStr">
        <is>
          <t>Beat your average?</t>
        </is>
      </c>
    </row>
    <row r="4">
      <c r="A4" s="20" t="n">
        <v>1</v>
      </c>
      <c r="B4" s="21">
        <f>IF('Setup'!$B$5="","",'Setup'!$B$5+1-1)</f>
        <v/>
      </c>
      <c r="C4" s="22">
        <f>IF(B4="","",IF(1=29,"Remake your best post",IF(1=30,"Plan next month: keep, cut, test",CHOOSE(WEEKDAY(B4,2),"Teach",IF('Setup'!$B$7="3 days a week","Rest, reply to comments","You"),"Proof",IF('Setup'!$B$7="3 days a week","Rest, reply to comments","Teach"),"You","Rest, reply to comments","Rest, reply to comments"))))</f>
        <v/>
      </c>
      <c r="D4" s="17" t="inlineStr">
        <is>
          <t>Stop using dish soap on your sneakers.</t>
        </is>
      </c>
      <c r="E4" s="17" t="inlineStr">
        <is>
          <t>The 3-step crease fix</t>
        </is>
      </c>
      <c r="F4" s="20" t="inlineStr">
        <is>
          <t>Tutorial</t>
        </is>
      </c>
      <c r="G4" s="20" t="inlineStr">
        <is>
          <t>Save this for your next pair</t>
        </is>
      </c>
      <c r="H4" s="20" t="inlineStr">
        <is>
          <t>Posted</t>
        </is>
      </c>
      <c r="I4" s="20" t="n"/>
      <c r="J4" s="23" t="n">
        <v>2100</v>
      </c>
      <c r="K4" s="23" t="n">
        <v>95</v>
      </c>
      <c r="L4" s="23" t="n">
        <v>14</v>
      </c>
      <c r="M4" s="23" t="n">
        <v>6</v>
      </c>
      <c r="N4" s="22">
        <f>IF(N(J4)=0,"",IF(J4&gt;AVERAGE($J$4:$J$33),"Yes",""))</f>
        <v/>
      </c>
    </row>
    <row r="5">
      <c r="A5" s="20" t="n">
        <v>2</v>
      </c>
      <c r="B5" s="21">
        <f>IF('Setup'!$B$5="","",'Setup'!$B$5+2-1)</f>
        <v/>
      </c>
      <c r="C5" s="22">
        <f>IF(B5="","",IF(2=29,"Remake your best post",IF(2=30,"Plan next month: keep, cut, test",CHOOSE(WEEKDAY(B5,2),"Teach",IF('Setup'!$B$7="3 days a week","Rest, reply to comments","You"),"Proof",IF('Setup'!$B$7="3 days a week","Rest, reply to comments","Teach"),"You","Rest, reply to comments","Rest, reply to comments"))))</f>
        <v/>
      </c>
      <c r="D5" s="17" t="inlineStr">
        <is>
          <t>I ruined my first pair doing this.</t>
        </is>
      </c>
      <c r="E5" s="17" t="inlineStr">
        <is>
          <t>Why I started cleaning sneakers</t>
        </is>
      </c>
      <c r="F5" s="20" t="inlineStr">
        <is>
          <t>Story time</t>
        </is>
      </c>
      <c r="G5" s="20" t="inlineStr">
        <is>
          <t>Follow for part two</t>
        </is>
      </c>
      <c r="H5" s="20" t="inlineStr">
        <is>
          <t>Posted</t>
        </is>
      </c>
      <c r="I5" s="20" t="n"/>
      <c r="J5" s="23" t="n">
        <v>1400</v>
      </c>
      <c r="K5" s="23" t="n">
        <v>12</v>
      </c>
      <c r="L5" s="23" t="n">
        <v>22</v>
      </c>
      <c r="M5" s="23" t="n">
        <v>4</v>
      </c>
      <c r="N5" s="22">
        <f>IF(N(J5)=0,"",IF(J5&gt;AVERAGE($J$4:$J$33),"Yes",""))</f>
        <v/>
      </c>
    </row>
    <row r="6">
      <c r="A6" s="20" t="n">
        <v>3</v>
      </c>
      <c r="B6" s="21">
        <f>IF('Setup'!$B$5="","",'Setup'!$B$5+3-1)</f>
        <v/>
      </c>
      <c r="C6" s="22">
        <f>IF(B6="","",IF(3=29,"Remake your best post",IF(3=30,"Plan next month: keep, cut, test",CHOOSE(WEEKDAY(B6,2),"Teach",IF('Setup'!$B$7="3 days a week","Rest, reply to comments","You"),"Proof",IF('Setup'!$B$7="3 days a week","Rest, reply to comments","Teach"),"You","Rest, reply to comments","Rest, reply to comments"))))</f>
        <v/>
      </c>
      <c r="D6" s="17" t="inlineStr">
        <is>
          <t>This pair looked dead on Monday.</t>
        </is>
      </c>
      <c r="E6" s="17" t="inlineStr">
        <is>
          <t>Suede before and after</t>
        </is>
      </c>
      <c r="F6" s="20" t="inlineStr">
        <is>
          <t>Voiceover before/after</t>
        </is>
      </c>
      <c r="G6" s="20" t="inlineStr">
        <is>
          <t>Comment CLEAN for prices</t>
        </is>
      </c>
      <c r="H6" s="20" t="inlineStr">
        <is>
          <t>Posted</t>
        </is>
      </c>
      <c r="I6" s="20" t="n"/>
      <c r="J6" s="23" t="n">
        <v>5200</v>
      </c>
      <c r="K6" s="23" t="n">
        <v>180</v>
      </c>
      <c r="L6" s="23" t="n">
        <v>61</v>
      </c>
      <c r="M6" s="23" t="n">
        <v>19</v>
      </c>
      <c r="N6" s="22">
        <f>IF(N(J6)=0,"",IF(J6&gt;AVERAGE($J$4:$J$33),"Yes",""))</f>
        <v/>
      </c>
    </row>
    <row r="7">
      <c r="A7" s="20" t="n">
        <v>4</v>
      </c>
      <c r="B7" s="21">
        <f>IF('Setup'!$B$5="","",'Setup'!$B$5+4-1)</f>
        <v/>
      </c>
      <c r="C7" s="22">
        <f>IF(B7="","",IF(4=29,"Remake your best post",IF(4=30,"Plan next month: keep, cut, test",CHOOSE(WEEKDAY(B7,2),"Teach",IF('Setup'!$B$7="3 days a week","Rest, reply to comments","You"),"Proof",IF('Setup'!$B$7="3 days a week","Rest, reply to comments","Teach"),"You","Rest, reply to comments","Rest, reply to comments"))))</f>
        <v/>
      </c>
      <c r="D7" s="17" t="inlineStr">
        <is>
          <t>"Will it ruin my suede?" Here's the answer.</t>
        </is>
      </c>
      <c r="E7" s="17" t="inlineStr">
        <is>
          <t>A question someone asked</t>
        </is>
      </c>
      <c r="F7" s="20" t="inlineStr">
        <is>
          <t>Talking head + text hook</t>
        </is>
      </c>
      <c r="G7" s="20" t="inlineStr">
        <is>
          <t>DM me SUEDE</t>
        </is>
      </c>
      <c r="H7" s="20" t="inlineStr">
        <is>
          <t>Posted</t>
        </is>
      </c>
      <c r="I7" s="20" t="n"/>
      <c r="J7" s="23" t="n">
        <v>1800</v>
      </c>
      <c r="K7" s="23" t="n">
        <v>40</v>
      </c>
      <c r="L7" s="23" t="n">
        <v>9</v>
      </c>
      <c r="M7" s="23" t="n">
        <v>7</v>
      </c>
      <c r="N7" s="22">
        <f>IF(N(J7)=0,"",IF(J7&gt;AVERAGE($J$4:$J$33),"Yes",""))</f>
        <v/>
      </c>
    </row>
    <row r="8">
      <c r="A8" s="20" t="n">
        <v>5</v>
      </c>
      <c r="B8" s="21">
        <f>IF('Setup'!$B$5="","",'Setup'!$B$5+5-1)</f>
        <v/>
      </c>
      <c r="C8" s="22">
        <f>IF(B8="","",IF(5=29,"Remake your best post",IF(5=30,"Plan next month: keep, cut, test",CHOOSE(WEEKDAY(B8,2),"Teach",IF('Setup'!$B$7="3 days a week","Rest, reply to comments","You"),"Proof",IF('Setup'!$B$7="3 days a week","Rest, reply to comments","Teach"),"You","Rest, reply to comments","Rest, reply to comments"))))</f>
        <v/>
      </c>
      <c r="D8" s="17" t="inlineStr">
        <is>
          <t>What 4 hours of cleaning looks like.</t>
        </is>
      </c>
      <c r="E8" s="17" t="inlineStr">
        <is>
          <t>Behind the scenes, Sunday batch</t>
        </is>
      </c>
      <c r="F8" s="20" t="inlineStr">
        <is>
          <t>Day in the life</t>
        </is>
      </c>
      <c r="G8" s="20" t="inlineStr">
        <is>
          <t>Follow if you are building too</t>
        </is>
      </c>
      <c r="H8" s="20" t="inlineStr">
        <is>
          <t>Posted</t>
        </is>
      </c>
      <c r="I8" s="20" t="n"/>
      <c r="J8" s="23" t="n">
        <v>1600</v>
      </c>
      <c r="K8" s="23" t="n">
        <v>20</v>
      </c>
      <c r="L8" s="23" t="n">
        <v>11</v>
      </c>
      <c r="M8" s="23" t="n">
        <v>3</v>
      </c>
      <c r="N8" s="22">
        <f>IF(N(J8)=0,"",IF(J8&gt;AVERAGE($J$4:$J$33),"Yes",""))</f>
        <v/>
      </c>
    </row>
    <row r="9">
      <c r="A9" s="20" t="n">
        <v>6</v>
      </c>
      <c r="B9" s="21">
        <f>IF('Setup'!$B$5="","",'Setup'!$B$5+6-1)</f>
        <v/>
      </c>
      <c r="C9" s="22">
        <f>IF(B9="","",IF(6=29,"Remake your best post",IF(6=30,"Plan next month: keep, cut, test",CHOOSE(WEEKDAY(B9,2),"Teach",IF('Setup'!$B$7="3 days a week","Rest, reply to comments","You"),"Proof",IF('Setup'!$B$7="3 days a week","Rest, reply to comments","Teach"),"You","Rest, reply to comments","Rest, reply to comments"))))</f>
        <v/>
      </c>
      <c r="D9" s="17" t="n"/>
      <c r="E9" s="17" t="n"/>
      <c r="F9" s="20" t="n"/>
      <c r="G9" s="20" t="n"/>
      <c r="H9" s="20" t="n"/>
      <c r="I9" s="20" t="n"/>
      <c r="J9" s="23" t="n"/>
      <c r="K9" s="23" t="n"/>
      <c r="L9" s="23" t="n"/>
      <c r="M9" s="23" t="n"/>
      <c r="N9" s="22">
        <f>IF(N(J9)=0,"",IF(J9&gt;AVERAGE($J$4:$J$33),"Yes",""))</f>
        <v/>
      </c>
    </row>
    <row r="10">
      <c r="A10" s="20" t="n">
        <v>7</v>
      </c>
      <c r="B10" s="21">
        <f>IF('Setup'!$B$5="","",'Setup'!$B$5+7-1)</f>
        <v/>
      </c>
      <c r="C10" s="22">
        <f>IF(B10="","",IF(7=29,"Remake your best post",IF(7=30,"Plan next month: keep, cut, test",CHOOSE(WEEKDAY(B10,2),"Teach",IF('Setup'!$B$7="3 days a week","Rest, reply to comments","You"),"Proof",IF('Setup'!$B$7="3 days a week","Rest, reply to comments","Teach"),"You","Rest, reply to comments","Rest, reply to comments"))))</f>
        <v/>
      </c>
      <c r="D10" s="17" t="n"/>
      <c r="E10" s="17" t="n"/>
      <c r="F10" s="20" t="n"/>
      <c r="G10" s="20" t="n"/>
      <c r="H10" s="20" t="n"/>
      <c r="I10" s="20" t="n"/>
      <c r="J10" s="23" t="n"/>
      <c r="K10" s="23" t="n"/>
      <c r="L10" s="23" t="n"/>
      <c r="M10" s="23" t="n"/>
      <c r="N10" s="22">
        <f>IF(N(J10)=0,"",IF(J10&gt;AVERAGE($J$4:$J$33),"Yes",""))</f>
        <v/>
      </c>
    </row>
    <row r="11">
      <c r="A11" s="20" t="n">
        <v>8</v>
      </c>
      <c r="B11" s="21">
        <f>IF('Setup'!$B$5="","",'Setup'!$B$5+8-1)</f>
        <v/>
      </c>
      <c r="C11" s="22">
        <f>IF(B11="","",IF(8=29,"Remake your best post",IF(8=30,"Plan next month: keep, cut, test",CHOOSE(WEEKDAY(B11,2),"Teach",IF('Setup'!$B$7="3 days a week","Rest, reply to comments","You"),"Proof",IF('Setup'!$B$7="3 days a week","Rest, reply to comments","Teach"),"You","Rest, reply to comments","Rest, reply to comments"))))</f>
        <v/>
      </c>
      <c r="D11" s="17" t="n"/>
      <c r="E11" s="17" t="inlineStr">
        <is>
          <t>Getting yellowing out of soles</t>
        </is>
      </c>
      <c r="F11" s="20" t="inlineStr">
        <is>
          <t>Tutorial</t>
        </is>
      </c>
      <c r="G11" s="20" t="n"/>
      <c r="H11" s="20" t="inlineStr">
        <is>
          <t>Scripted</t>
        </is>
      </c>
      <c r="I11" s="20" t="n"/>
      <c r="J11" s="23" t="n"/>
      <c r="K11" s="23" t="n"/>
      <c r="L11" s="23" t="n"/>
      <c r="M11" s="23" t="n"/>
      <c r="N11" s="22">
        <f>IF(N(J11)=0,"",IF(J11&gt;AVERAGE($J$4:$J$33),"Yes",""))</f>
        <v/>
      </c>
    </row>
    <row r="12">
      <c r="A12" s="20" t="n">
        <v>9</v>
      </c>
      <c r="B12" s="21">
        <f>IF('Setup'!$B$5="","",'Setup'!$B$5+9-1)</f>
        <v/>
      </c>
      <c r="C12" s="22">
        <f>IF(B12="","",IF(9=29,"Remake your best post",IF(9=30,"Plan next month: keep, cut, test",CHOOSE(WEEKDAY(B12,2),"Teach",IF('Setup'!$B$7="3 days a week","Rest, reply to comments","You"),"Proof",IF('Setup'!$B$7="3 days a week","Rest, reply to comments","Teach"),"You","Rest, reply to comments","Rest, reply to comments"))))</f>
        <v/>
      </c>
      <c r="D12" s="17" t="n"/>
      <c r="E12" s="17" t="inlineStr">
        <is>
          <t>The pair I almost gave back</t>
        </is>
      </c>
      <c r="F12" s="20" t="inlineStr">
        <is>
          <t>Story time</t>
        </is>
      </c>
      <c r="G12" s="20" t="n"/>
      <c r="H12" s="20" t="inlineStr">
        <is>
          <t>Idea</t>
        </is>
      </c>
      <c r="I12" s="20" t="n"/>
      <c r="J12" s="23" t="n"/>
      <c r="K12" s="23" t="n"/>
      <c r="L12" s="23" t="n"/>
      <c r="M12" s="23" t="n"/>
      <c r="N12" s="22">
        <f>IF(N(J12)=0,"",IF(J12&gt;AVERAGE($J$4:$J$33),"Yes",""))</f>
        <v/>
      </c>
    </row>
    <row r="13">
      <c r="A13" s="20" t="n">
        <v>10</v>
      </c>
      <c r="B13" s="21">
        <f>IF('Setup'!$B$5="","",'Setup'!$B$5+10-1)</f>
        <v/>
      </c>
      <c r="C13" s="22">
        <f>IF(B13="","",IF(10=29,"Remake your best post",IF(10=30,"Plan next month: keep, cut, test",CHOOSE(WEEKDAY(B13,2),"Teach",IF('Setup'!$B$7="3 days a week","Rest, reply to comments","You"),"Proof",IF('Setup'!$B$7="3 days a week","Rest, reply to comments","Teach"),"You","Rest, reply to comments","Rest, reply to comments"))))</f>
        <v/>
      </c>
      <c r="D13" s="17" t="n"/>
      <c r="E13" s="17" t="inlineStr">
        <is>
          <t>Jordan 1 before and after</t>
        </is>
      </c>
      <c r="F13" s="20" t="inlineStr">
        <is>
          <t>Voiceover before/after</t>
        </is>
      </c>
      <c r="G13" s="20" t="n"/>
      <c r="H13" s="20" t="inlineStr">
        <is>
          <t>Filmed</t>
        </is>
      </c>
      <c r="I13" s="20" t="n"/>
      <c r="J13" s="23" t="n"/>
      <c r="K13" s="23" t="n"/>
      <c r="L13" s="23" t="n"/>
      <c r="M13" s="23" t="n"/>
      <c r="N13" s="22">
        <f>IF(N(J13)=0,"",IF(J13&gt;AVERAGE($J$4:$J$33),"Yes",""))</f>
        <v/>
      </c>
    </row>
    <row r="14">
      <c r="A14" s="20" t="n">
        <v>11</v>
      </c>
      <c r="B14" s="21">
        <f>IF('Setup'!$B$5="","",'Setup'!$B$5+11-1)</f>
        <v/>
      </c>
      <c r="C14" s="22">
        <f>IF(B14="","",IF(11=29,"Remake your best post",IF(11=30,"Plan next month: keep, cut, test",CHOOSE(WEEKDAY(B14,2),"Teach",IF('Setup'!$B$7="3 days a week","Rest, reply to comments","You"),"Proof",IF('Setup'!$B$7="3 days a week","Rest, reply to comments","Teach"),"You","Rest, reply to comments","Rest, reply to comments"))))</f>
        <v/>
      </c>
      <c r="D14" s="17" t="n"/>
      <c r="E14" s="17" t="n"/>
      <c r="F14" s="20" t="n"/>
      <c r="G14" s="20" t="n"/>
      <c r="H14" s="20" t="n"/>
      <c r="I14" s="20" t="n"/>
      <c r="J14" s="23" t="n"/>
      <c r="K14" s="23" t="n"/>
      <c r="L14" s="23" t="n"/>
      <c r="M14" s="23" t="n"/>
      <c r="N14" s="22">
        <f>IF(N(J14)=0,"",IF(J14&gt;AVERAGE($J$4:$J$33),"Yes",""))</f>
        <v/>
      </c>
    </row>
    <row r="15">
      <c r="A15" s="20" t="n">
        <v>12</v>
      </c>
      <c r="B15" s="21">
        <f>IF('Setup'!$B$5="","",'Setup'!$B$5+12-1)</f>
        <v/>
      </c>
      <c r="C15" s="22">
        <f>IF(B15="","",IF(12=29,"Remake your best post",IF(12=30,"Plan next month: keep, cut, test",CHOOSE(WEEKDAY(B15,2),"Teach",IF('Setup'!$B$7="3 days a week","Rest, reply to comments","You"),"Proof",IF('Setup'!$B$7="3 days a week","Rest, reply to comments","Teach"),"You","Rest, reply to comments","Rest, reply to comments"))))</f>
        <v/>
      </c>
      <c r="D15" s="17" t="n"/>
      <c r="E15" s="17" t="n"/>
      <c r="F15" s="20" t="n"/>
      <c r="G15" s="20" t="n"/>
      <c r="H15" s="20" t="n"/>
      <c r="I15" s="20" t="n"/>
      <c r="J15" s="23" t="n"/>
      <c r="K15" s="23" t="n"/>
      <c r="L15" s="23" t="n"/>
      <c r="M15" s="23" t="n"/>
      <c r="N15" s="22">
        <f>IF(N(J15)=0,"",IF(J15&gt;AVERAGE($J$4:$J$33),"Yes",""))</f>
        <v/>
      </c>
    </row>
    <row r="16">
      <c r="A16" s="20" t="n">
        <v>13</v>
      </c>
      <c r="B16" s="21">
        <f>IF('Setup'!$B$5="","",'Setup'!$B$5+13-1)</f>
        <v/>
      </c>
      <c r="C16" s="22">
        <f>IF(B16="","",IF(13=29,"Remake your best post",IF(13=30,"Plan next month: keep, cut, test",CHOOSE(WEEKDAY(B16,2),"Teach",IF('Setup'!$B$7="3 days a week","Rest, reply to comments","You"),"Proof",IF('Setup'!$B$7="3 days a week","Rest, reply to comments","Teach"),"You","Rest, reply to comments","Rest, reply to comments"))))</f>
        <v/>
      </c>
      <c r="D16" s="17" t="n"/>
      <c r="E16" s="17" t="n"/>
      <c r="F16" s="20" t="n"/>
      <c r="G16" s="20" t="n"/>
      <c r="H16" s="20" t="n"/>
      <c r="I16" s="20" t="n"/>
      <c r="J16" s="23" t="n"/>
      <c r="K16" s="23" t="n"/>
      <c r="L16" s="23" t="n"/>
      <c r="M16" s="23" t="n"/>
      <c r="N16" s="22">
        <f>IF(N(J16)=0,"",IF(J16&gt;AVERAGE($J$4:$J$33),"Yes",""))</f>
        <v/>
      </c>
    </row>
    <row r="17">
      <c r="A17" s="20" t="n">
        <v>14</v>
      </c>
      <c r="B17" s="21">
        <f>IF('Setup'!$B$5="","",'Setup'!$B$5+14-1)</f>
        <v/>
      </c>
      <c r="C17" s="22">
        <f>IF(B17="","",IF(14=29,"Remake your best post",IF(14=30,"Plan next month: keep, cut, test",CHOOSE(WEEKDAY(B17,2),"Teach",IF('Setup'!$B$7="3 days a week","Rest, reply to comments","You"),"Proof",IF('Setup'!$B$7="3 days a week","Rest, reply to comments","Teach"),"You","Rest, reply to comments","Rest, reply to comments"))))</f>
        <v/>
      </c>
      <c r="D17" s="17" t="n"/>
      <c r="E17" s="17" t="n"/>
      <c r="F17" s="20" t="n"/>
      <c r="G17" s="20" t="n"/>
      <c r="H17" s="20" t="n"/>
      <c r="I17" s="20" t="n"/>
      <c r="J17" s="23" t="n"/>
      <c r="K17" s="23" t="n"/>
      <c r="L17" s="23" t="n"/>
      <c r="M17" s="23" t="n"/>
      <c r="N17" s="22">
        <f>IF(N(J17)=0,"",IF(J17&gt;AVERAGE($J$4:$J$33),"Yes",""))</f>
        <v/>
      </c>
    </row>
    <row r="18">
      <c r="A18" s="20" t="n">
        <v>15</v>
      </c>
      <c r="B18" s="21">
        <f>IF('Setup'!$B$5="","",'Setup'!$B$5+15-1)</f>
        <v/>
      </c>
      <c r="C18" s="22">
        <f>IF(B18="","",IF(15=29,"Remake your best post",IF(15=30,"Plan next month: keep, cut, test",CHOOSE(WEEKDAY(B18,2),"Teach",IF('Setup'!$B$7="3 days a week","Rest, reply to comments","You"),"Proof",IF('Setup'!$B$7="3 days a week","Rest, reply to comments","Teach"),"You","Rest, reply to comments","Rest, reply to comments"))))</f>
        <v/>
      </c>
      <c r="D18" s="17" t="n"/>
      <c r="E18" s="17" t="n"/>
      <c r="F18" s="20" t="n"/>
      <c r="G18" s="20" t="n"/>
      <c r="H18" s="20" t="n"/>
      <c r="I18" s="20" t="n"/>
      <c r="J18" s="23" t="n"/>
      <c r="K18" s="23" t="n"/>
      <c r="L18" s="23" t="n"/>
      <c r="M18" s="23" t="n"/>
      <c r="N18" s="22">
        <f>IF(N(J18)=0,"",IF(J18&gt;AVERAGE($J$4:$J$33),"Yes",""))</f>
        <v/>
      </c>
    </row>
    <row r="19">
      <c r="A19" s="20" t="n">
        <v>16</v>
      </c>
      <c r="B19" s="21">
        <f>IF('Setup'!$B$5="","",'Setup'!$B$5+16-1)</f>
        <v/>
      </c>
      <c r="C19" s="22">
        <f>IF(B19="","",IF(16=29,"Remake your best post",IF(16=30,"Plan next month: keep, cut, test",CHOOSE(WEEKDAY(B19,2),"Teach",IF('Setup'!$B$7="3 days a week","Rest, reply to comments","You"),"Proof",IF('Setup'!$B$7="3 days a week","Rest, reply to comments","Teach"),"You","Rest, reply to comments","Rest, reply to comments"))))</f>
        <v/>
      </c>
      <c r="D19" s="17" t="n"/>
      <c r="E19" s="17" t="n"/>
      <c r="F19" s="20" t="n"/>
      <c r="G19" s="20" t="n"/>
      <c r="H19" s="20" t="n"/>
      <c r="I19" s="20" t="n"/>
      <c r="J19" s="23" t="n"/>
      <c r="K19" s="23" t="n"/>
      <c r="L19" s="23" t="n"/>
      <c r="M19" s="23" t="n"/>
      <c r="N19" s="22">
        <f>IF(N(J19)=0,"",IF(J19&gt;AVERAGE($J$4:$J$33),"Yes",""))</f>
        <v/>
      </c>
    </row>
    <row r="20">
      <c r="A20" s="20" t="n">
        <v>17</v>
      </c>
      <c r="B20" s="21">
        <f>IF('Setup'!$B$5="","",'Setup'!$B$5+17-1)</f>
        <v/>
      </c>
      <c r="C20" s="22">
        <f>IF(B20="","",IF(17=29,"Remake your best post",IF(17=30,"Plan next month: keep, cut, test",CHOOSE(WEEKDAY(B20,2),"Teach",IF('Setup'!$B$7="3 days a week","Rest, reply to comments","You"),"Proof",IF('Setup'!$B$7="3 days a week","Rest, reply to comments","Teach"),"You","Rest, reply to comments","Rest, reply to comments"))))</f>
        <v/>
      </c>
      <c r="D20" s="17" t="n"/>
      <c r="E20" s="17" t="n"/>
      <c r="F20" s="20" t="n"/>
      <c r="G20" s="20" t="n"/>
      <c r="H20" s="20" t="n"/>
      <c r="I20" s="20" t="n"/>
      <c r="J20" s="23" t="n"/>
      <c r="K20" s="23" t="n"/>
      <c r="L20" s="23" t="n"/>
      <c r="M20" s="23" t="n"/>
      <c r="N20" s="22">
        <f>IF(N(J20)=0,"",IF(J20&gt;AVERAGE($J$4:$J$33),"Yes",""))</f>
        <v/>
      </c>
    </row>
    <row r="21">
      <c r="A21" s="20" t="n">
        <v>18</v>
      </c>
      <c r="B21" s="21">
        <f>IF('Setup'!$B$5="","",'Setup'!$B$5+18-1)</f>
        <v/>
      </c>
      <c r="C21" s="22">
        <f>IF(B21="","",IF(18=29,"Remake your best post",IF(18=30,"Plan next month: keep, cut, test",CHOOSE(WEEKDAY(B21,2),"Teach",IF('Setup'!$B$7="3 days a week","Rest, reply to comments","You"),"Proof",IF('Setup'!$B$7="3 days a week","Rest, reply to comments","Teach"),"You","Rest, reply to comments","Rest, reply to comments"))))</f>
        <v/>
      </c>
      <c r="D21" s="17" t="n"/>
      <c r="E21" s="17" t="n"/>
      <c r="F21" s="20" t="n"/>
      <c r="G21" s="20" t="n"/>
      <c r="H21" s="20" t="n"/>
      <c r="I21" s="20" t="n"/>
      <c r="J21" s="23" t="n"/>
      <c r="K21" s="23" t="n"/>
      <c r="L21" s="23" t="n"/>
      <c r="M21" s="23" t="n"/>
      <c r="N21" s="22">
        <f>IF(N(J21)=0,"",IF(J21&gt;AVERAGE($J$4:$J$33),"Yes",""))</f>
        <v/>
      </c>
    </row>
    <row r="22">
      <c r="A22" s="20" t="n">
        <v>19</v>
      </c>
      <c r="B22" s="21">
        <f>IF('Setup'!$B$5="","",'Setup'!$B$5+19-1)</f>
        <v/>
      </c>
      <c r="C22" s="22">
        <f>IF(B22="","",IF(19=29,"Remake your best post",IF(19=30,"Plan next month: keep, cut, test",CHOOSE(WEEKDAY(B22,2),"Teach",IF('Setup'!$B$7="3 days a week","Rest, reply to comments","You"),"Proof",IF('Setup'!$B$7="3 days a week","Rest, reply to comments","Teach"),"You","Rest, reply to comments","Rest, reply to comments"))))</f>
        <v/>
      </c>
      <c r="D22" s="17" t="n"/>
      <c r="E22" s="17" t="n"/>
      <c r="F22" s="20" t="n"/>
      <c r="G22" s="20" t="n"/>
      <c r="H22" s="20" t="n"/>
      <c r="I22" s="20" t="n"/>
      <c r="J22" s="23" t="n"/>
      <c r="K22" s="23" t="n"/>
      <c r="L22" s="23" t="n"/>
      <c r="M22" s="23" t="n"/>
      <c r="N22" s="22">
        <f>IF(N(J22)=0,"",IF(J22&gt;AVERAGE($J$4:$J$33),"Yes",""))</f>
        <v/>
      </c>
    </row>
    <row r="23">
      <c r="A23" s="20" t="n">
        <v>20</v>
      </c>
      <c r="B23" s="21">
        <f>IF('Setup'!$B$5="","",'Setup'!$B$5+20-1)</f>
        <v/>
      </c>
      <c r="C23" s="22">
        <f>IF(B23="","",IF(20=29,"Remake your best post",IF(20=30,"Plan next month: keep, cut, test",CHOOSE(WEEKDAY(B23,2),"Teach",IF('Setup'!$B$7="3 days a week","Rest, reply to comments","You"),"Proof",IF('Setup'!$B$7="3 days a week","Rest, reply to comments","Teach"),"You","Rest, reply to comments","Rest, reply to comments"))))</f>
        <v/>
      </c>
      <c r="D23" s="17" t="n"/>
      <c r="E23" s="17" t="n"/>
      <c r="F23" s="20" t="n"/>
      <c r="G23" s="20" t="n"/>
      <c r="H23" s="20" t="n"/>
      <c r="I23" s="20" t="n"/>
      <c r="J23" s="23" t="n"/>
      <c r="K23" s="23" t="n"/>
      <c r="L23" s="23" t="n"/>
      <c r="M23" s="23" t="n"/>
      <c r="N23" s="22">
        <f>IF(N(J23)=0,"",IF(J23&gt;AVERAGE($J$4:$J$33),"Yes",""))</f>
        <v/>
      </c>
    </row>
    <row r="24">
      <c r="A24" s="20" t="n">
        <v>21</v>
      </c>
      <c r="B24" s="21">
        <f>IF('Setup'!$B$5="","",'Setup'!$B$5+21-1)</f>
        <v/>
      </c>
      <c r="C24" s="22">
        <f>IF(B24="","",IF(21=29,"Remake your best post",IF(21=30,"Plan next month: keep, cut, test",CHOOSE(WEEKDAY(B24,2),"Teach",IF('Setup'!$B$7="3 days a week","Rest, reply to comments","You"),"Proof",IF('Setup'!$B$7="3 days a week","Rest, reply to comments","Teach"),"You","Rest, reply to comments","Rest, reply to comments"))))</f>
        <v/>
      </c>
      <c r="D24" s="17" t="n"/>
      <c r="E24" s="17" t="n"/>
      <c r="F24" s="20" t="n"/>
      <c r="G24" s="20" t="n"/>
      <c r="H24" s="20" t="n"/>
      <c r="I24" s="20" t="n"/>
      <c r="J24" s="23" t="n"/>
      <c r="K24" s="23" t="n"/>
      <c r="L24" s="23" t="n"/>
      <c r="M24" s="23" t="n"/>
      <c r="N24" s="22">
        <f>IF(N(J24)=0,"",IF(J24&gt;AVERAGE($J$4:$J$33),"Yes",""))</f>
        <v/>
      </c>
    </row>
    <row r="25">
      <c r="A25" s="20" t="n">
        <v>22</v>
      </c>
      <c r="B25" s="21">
        <f>IF('Setup'!$B$5="","",'Setup'!$B$5+22-1)</f>
        <v/>
      </c>
      <c r="C25" s="22">
        <f>IF(B25="","",IF(22=29,"Remake your best post",IF(22=30,"Plan next month: keep, cut, test",CHOOSE(WEEKDAY(B25,2),"Teach",IF('Setup'!$B$7="3 days a week","Rest, reply to comments","You"),"Proof",IF('Setup'!$B$7="3 days a week","Rest, reply to comments","Teach"),"You","Rest, reply to comments","Rest, reply to comments"))))</f>
        <v/>
      </c>
      <c r="D25" s="17" t="n"/>
      <c r="E25" s="17" t="n"/>
      <c r="F25" s="20" t="n"/>
      <c r="G25" s="20" t="n"/>
      <c r="H25" s="20" t="n"/>
      <c r="I25" s="20" t="n"/>
      <c r="J25" s="23" t="n"/>
      <c r="K25" s="23" t="n"/>
      <c r="L25" s="23" t="n"/>
      <c r="M25" s="23" t="n"/>
      <c r="N25" s="22">
        <f>IF(N(J25)=0,"",IF(J25&gt;AVERAGE($J$4:$J$33),"Yes",""))</f>
        <v/>
      </c>
    </row>
    <row r="26">
      <c r="A26" s="20" t="n">
        <v>23</v>
      </c>
      <c r="B26" s="21">
        <f>IF('Setup'!$B$5="","",'Setup'!$B$5+23-1)</f>
        <v/>
      </c>
      <c r="C26" s="22">
        <f>IF(B26="","",IF(23=29,"Remake your best post",IF(23=30,"Plan next month: keep, cut, test",CHOOSE(WEEKDAY(B26,2),"Teach",IF('Setup'!$B$7="3 days a week","Rest, reply to comments","You"),"Proof",IF('Setup'!$B$7="3 days a week","Rest, reply to comments","Teach"),"You","Rest, reply to comments","Rest, reply to comments"))))</f>
        <v/>
      </c>
      <c r="D26" s="17" t="n"/>
      <c r="E26" s="17" t="n"/>
      <c r="F26" s="20" t="n"/>
      <c r="G26" s="20" t="n"/>
      <c r="H26" s="20" t="n"/>
      <c r="I26" s="20" t="n"/>
      <c r="J26" s="23" t="n"/>
      <c r="K26" s="23" t="n"/>
      <c r="L26" s="23" t="n"/>
      <c r="M26" s="23" t="n"/>
      <c r="N26" s="22">
        <f>IF(N(J26)=0,"",IF(J26&gt;AVERAGE($J$4:$J$33),"Yes",""))</f>
        <v/>
      </c>
    </row>
    <row r="27">
      <c r="A27" s="20" t="n">
        <v>24</v>
      </c>
      <c r="B27" s="21">
        <f>IF('Setup'!$B$5="","",'Setup'!$B$5+24-1)</f>
        <v/>
      </c>
      <c r="C27" s="22">
        <f>IF(B27="","",IF(24=29,"Remake your best post",IF(24=30,"Plan next month: keep, cut, test",CHOOSE(WEEKDAY(B27,2),"Teach",IF('Setup'!$B$7="3 days a week","Rest, reply to comments","You"),"Proof",IF('Setup'!$B$7="3 days a week","Rest, reply to comments","Teach"),"You","Rest, reply to comments","Rest, reply to comments"))))</f>
        <v/>
      </c>
      <c r="D27" s="17" t="n"/>
      <c r="E27" s="17" t="n"/>
      <c r="F27" s="20" t="n"/>
      <c r="G27" s="20" t="n"/>
      <c r="H27" s="20" t="n"/>
      <c r="I27" s="20" t="n"/>
      <c r="J27" s="23" t="n"/>
      <c r="K27" s="23" t="n"/>
      <c r="L27" s="23" t="n"/>
      <c r="M27" s="23" t="n"/>
      <c r="N27" s="22">
        <f>IF(N(J27)=0,"",IF(J27&gt;AVERAGE($J$4:$J$33),"Yes",""))</f>
        <v/>
      </c>
    </row>
    <row r="28">
      <c r="A28" s="20" t="n">
        <v>25</v>
      </c>
      <c r="B28" s="21">
        <f>IF('Setup'!$B$5="","",'Setup'!$B$5+25-1)</f>
        <v/>
      </c>
      <c r="C28" s="22">
        <f>IF(B28="","",IF(25=29,"Remake your best post",IF(25=30,"Plan next month: keep, cut, test",CHOOSE(WEEKDAY(B28,2),"Teach",IF('Setup'!$B$7="3 days a week","Rest, reply to comments","You"),"Proof",IF('Setup'!$B$7="3 days a week","Rest, reply to comments","Teach"),"You","Rest, reply to comments","Rest, reply to comments"))))</f>
        <v/>
      </c>
      <c r="D28" s="17" t="n"/>
      <c r="E28" s="17" t="n"/>
      <c r="F28" s="20" t="n"/>
      <c r="G28" s="20" t="n"/>
      <c r="H28" s="20" t="n"/>
      <c r="I28" s="20" t="n"/>
      <c r="J28" s="23" t="n"/>
      <c r="K28" s="23" t="n"/>
      <c r="L28" s="23" t="n"/>
      <c r="M28" s="23" t="n"/>
      <c r="N28" s="22">
        <f>IF(N(J28)=0,"",IF(J28&gt;AVERAGE($J$4:$J$33),"Yes",""))</f>
        <v/>
      </c>
    </row>
    <row r="29">
      <c r="A29" s="20" t="n">
        <v>26</v>
      </c>
      <c r="B29" s="21">
        <f>IF('Setup'!$B$5="","",'Setup'!$B$5+26-1)</f>
        <v/>
      </c>
      <c r="C29" s="22">
        <f>IF(B29="","",IF(26=29,"Remake your best post",IF(26=30,"Plan next month: keep, cut, test",CHOOSE(WEEKDAY(B29,2),"Teach",IF('Setup'!$B$7="3 days a week","Rest, reply to comments","You"),"Proof",IF('Setup'!$B$7="3 days a week","Rest, reply to comments","Teach"),"You","Rest, reply to comments","Rest, reply to comments"))))</f>
        <v/>
      </c>
      <c r="D29" s="17" t="n"/>
      <c r="E29" s="17" t="n"/>
      <c r="F29" s="20" t="n"/>
      <c r="G29" s="20" t="n"/>
      <c r="H29" s="20" t="n"/>
      <c r="I29" s="20" t="n"/>
      <c r="J29" s="23" t="n"/>
      <c r="K29" s="23" t="n"/>
      <c r="L29" s="23" t="n"/>
      <c r="M29" s="23" t="n"/>
      <c r="N29" s="22">
        <f>IF(N(J29)=0,"",IF(J29&gt;AVERAGE($J$4:$J$33),"Yes",""))</f>
        <v/>
      </c>
    </row>
    <row r="30">
      <c r="A30" s="20" t="n">
        <v>27</v>
      </c>
      <c r="B30" s="21">
        <f>IF('Setup'!$B$5="","",'Setup'!$B$5+27-1)</f>
        <v/>
      </c>
      <c r="C30" s="22">
        <f>IF(B30="","",IF(27=29,"Remake your best post",IF(27=30,"Plan next month: keep, cut, test",CHOOSE(WEEKDAY(B30,2),"Teach",IF('Setup'!$B$7="3 days a week","Rest, reply to comments","You"),"Proof",IF('Setup'!$B$7="3 days a week","Rest, reply to comments","Teach"),"You","Rest, reply to comments","Rest, reply to comments"))))</f>
        <v/>
      </c>
      <c r="D30" s="17" t="n"/>
      <c r="E30" s="17" t="n"/>
      <c r="F30" s="20" t="n"/>
      <c r="G30" s="20" t="n"/>
      <c r="H30" s="20" t="n"/>
      <c r="I30" s="20" t="n"/>
      <c r="J30" s="23" t="n"/>
      <c r="K30" s="23" t="n"/>
      <c r="L30" s="23" t="n"/>
      <c r="M30" s="23" t="n"/>
      <c r="N30" s="22">
        <f>IF(N(J30)=0,"",IF(J30&gt;AVERAGE($J$4:$J$33),"Yes",""))</f>
        <v/>
      </c>
    </row>
    <row r="31">
      <c r="A31" s="20" t="n">
        <v>28</v>
      </c>
      <c r="B31" s="21">
        <f>IF('Setup'!$B$5="","",'Setup'!$B$5+28-1)</f>
        <v/>
      </c>
      <c r="C31" s="22">
        <f>IF(B31="","",IF(28=29,"Remake your best post",IF(28=30,"Plan next month: keep, cut, test",CHOOSE(WEEKDAY(B31,2),"Teach",IF('Setup'!$B$7="3 days a week","Rest, reply to comments","You"),"Proof",IF('Setup'!$B$7="3 days a week","Rest, reply to comments","Teach"),"You","Rest, reply to comments","Rest, reply to comments"))))</f>
        <v/>
      </c>
      <c r="D31" s="17" t="n"/>
      <c r="E31" s="17" t="n"/>
      <c r="F31" s="20" t="n"/>
      <c r="G31" s="20" t="n"/>
      <c r="H31" s="20" t="n"/>
      <c r="I31" s="20" t="n"/>
      <c r="J31" s="23" t="n"/>
      <c r="K31" s="23" t="n"/>
      <c r="L31" s="23" t="n"/>
      <c r="M31" s="23" t="n"/>
      <c r="N31" s="22">
        <f>IF(N(J31)=0,"",IF(J31&gt;AVERAGE($J$4:$J$33),"Yes",""))</f>
        <v/>
      </c>
    </row>
    <row r="32">
      <c r="A32" s="20" t="n">
        <v>29</v>
      </c>
      <c r="B32" s="21">
        <f>IF('Setup'!$B$5="","",'Setup'!$B$5+29-1)</f>
        <v/>
      </c>
      <c r="C32" s="22">
        <f>IF(B32="","",IF(29=29,"Remake your best post",IF(29=30,"Plan next month: keep, cut, test",CHOOSE(WEEKDAY(B32,2),"Teach",IF('Setup'!$B$7="3 days a week","Rest, reply to comments","You"),"Proof",IF('Setup'!$B$7="3 days a week","Rest, reply to comments","Teach"),"You","Rest, reply to comments","Rest, reply to comments"))))</f>
        <v/>
      </c>
      <c r="D32" s="17" t="n"/>
      <c r="E32" s="17" t="n"/>
      <c r="F32" s="20" t="n"/>
      <c r="G32" s="20" t="n"/>
      <c r="H32" s="20" t="n"/>
      <c r="I32" s="20" t="n"/>
      <c r="J32" s="23" t="n"/>
      <c r="K32" s="23" t="n"/>
      <c r="L32" s="23" t="n"/>
      <c r="M32" s="23" t="n"/>
      <c r="N32" s="22">
        <f>IF(N(J32)=0,"",IF(J32&gt;AVERAGE($J$4:$J$33),"Yes",""))</f>
        <v/>
      </c>
    </row>
    <row r="33">
      <c r="A33" s="20" t="n">
        <v>30</v>
      </c>
      <c r="B33" s="21">
        <f>IF('Setup'!$B$5="","",'Setup'!$B$5+30-1)</f>
        <v/>
      </c>
      <c r="C33" s="22">
        <f>IF(B33="","",IF(30=29,"Remake your best post",IF(30=30,"Plan next month: keep, cut, test",CHOOSE(WEEKDAY(B33,2),"Teach",IF('Setup'!$B$7="3 days a week","Rest, reply to comments","You"),"Proof",IF('Setup'!$B$7="3 days a week","Rest, reply to comments","Teach"),"You","Rest, reply to comments","Rest, reply to comments"))))</f>
        <v/>
      </c>
      <c r="D33" s="17" t="n"/>
      <c r="E33" s="17" t="n"/>
      <c r="F33" s="20" t="n"/>
      <c r="G33" s="20" t="n"/>
      <c r="H33" s="20" t="n"/>
      <c r="I33" s="20" t="n"/>
      <c r="J33" s="23" t="n"/>
      <c r="K33" s="23" t="n"/>
      <c r="L33" s="23" t="n"/>
      <c r="M33" s="23" t="n"/>
      <c r="N33" s="22">
        <f>IF(N(J33)=0,"",IF(J33&gt;AVERAGE($J$4:$J$33),"Yes",""))</f>
        <v/>
      </c>
    </row>
  </sheetData>
  <autoFilter ref="A3:N33"/>
  <conditionalFormatting sqref="C4:C33">
    <cfRule type="expression" priority="1" dxfId="0" stopIfTrue="0">
      <formula>LEFT(C4,4)="Rest"</formula>
    </cfRule>
  </conditionalFormatting>
  <conditionalFormatting sqref="D4:D33 J4:J33 N4:N33">
    <cfRule type="expression" priority="2" dxfId="1" stopIfTrue="0">
      <formula>N4="Yes"</formula>
    </cfRule>
  </conditionalFormatting>
  <conditionalFormatting sqref="H4:H33">
    <cfRule type="expression" priority="3" dxfId="2" stopIfTrue="0">
      <formula>H4="Posted"</formula>
    </cfRule>
  </conditionalFormatting>
  <dataValidations count="2">
    <dataValidation sqref="F4:F33" showDropDown="0" showInputMessage="0" showErrorMessage="0" allowBlank="1" type="list">
      <formula1>"Talking head + text hook,Green screen,Voiceover before/after,List of three,Day in the life,Tutorial,Story time,Other"</formula1>
    </dataValidation>
    <dataValidation sqref="H4:H33" showDropDown="0" showInputMessage="0" showErrorMessage="0" allowBlank="1" type="list">
      <formula1>"Idea,Scripted,Filmed,Edited,Scheduled,Posted"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4"/>
  <sheetViews>
    <sheetView showGridLines="0" tabSelected="0"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8" customWidth="1" min="4" max="4"/>
  </cols>
  <sheetData>
    <row r="1" ht="26" customHeight="1">
      <c r="A1" s="13" t="inlineStr">
        <is>
          <t>Which format hits</t>
        </is>
      </c>
    </row>
    <row r="2">
      <c r="A2" s="14" t="inlineStr">
        <is>
          <t>Views say the hook stopped the scroll. Comments and DMs say it built trust. Those turn into customers.</t>
        </is>
      </c>
    </row>
    <row r="4">
      <c r="A4" s="1" t="inlineStr">
        <is>
          <t>BY FORMAT (POSTED, WITH RESULTS)</t>
        </is>
      </c>
      <c r="B4" s="1" t="inlineStr">
        <is>
          <t>Posts</t>
        </is>
      </c>
      <c r="C4" s="1" t="inlineStr">
        <is>
          <t>Avg views</t>
        </is>
      </c>
      <c r="D4" s="1" t="inlineStr">
        <is>
          <t>Avg comments + DMs</t>
        </is>
      </c>
    </row>
    <row r="5">
      <c r="A5" s="15" t="inlineStr">
        <is>
          <t>Talking head + text hook</t>
        </is>
      </c>
      <c r="B5" s="24">
        <f>COUNTIFS('Calendar'!$F$4:$F$33,"Talking head + text hook",'Calendar'!$J$4:$J$33,"&gt;0")</f>
        <v/>
      </c>
      <c r="C5" s="24">
        <f>IFERROR(ROUND(AVERAGEIFS('Calendar'!$J$4:$J$33,'Calendar'!$F$4:$F$33,"Talking head + text hook",'Calendar'!$J$4:$J$33,"&gt;0"),0),"")</f>
        <v/>
      </c>
      <c r="D5" s="24">
        <f>IFERROR(ROUND((SUMIFS('Calendar'!$L$4:$L$33,'Calendar'!$F$4:$F$33,"Talking head + text hook")+SUMIFS('Calendar'!$M$4:$M$33,'Calendar'!$F$4:$F$33,"Talking head + text hook"))/COUNTIFS('Calendar'!$F$4:$F$33,"Talking head + text hook",'Calendar'!$J$4:$J$33,"&gt;0"),1),"")</f>
        <v/>
      </c>
    </row>
    <row r="6">
      <c r="A6" s="15" t="inlineStr">
        <is>
          <t>Green screen</t>
        </is>
      </c>
      <c r="B6" s="24">
        <f>COUNTIFS('Calendar'!$F$4:$F$33,"Green screen",'Calendar'!$J$4:$J$33,"&gt;0")</f>
        <v/>
      </c>
      <c r="C6" s="24">
        <f>IFERROR(ROUND(AVERAGEIFS('Calendar'!$J$4:$J$33,'Calendar'!$F$4:$F$33,"Green screen",'Calendar'!$J$4:$J$33,"&gt;0"),0),"")</f>
        <v/>
      </c>
      <c r="D6" s="24">
        <f>IFERROR(ROUND((SUMIFS('Calendar'!$L$4:$L$33,'Calendar'!$F$4:$F$33,"Green screen")+SUMIFS('Calendar'!$M$4:$M$33,'Calendar'!$F$4:$F$33,"Green screen"))/COUNTIFS('Calendar'!$F$4:$F$33,"Green screen",'Calendar'!$J$4:$J$33,"&gt;0"),1),"")</f>
        <v/>
      </c>
    </row>
    <row r="7">
      <c r="A7" s="15" t="inlineStr">
        <is>
          <t>Voiceover before/after</t>
        </is>
      </c>
      <c r="B7" s="24">
        <f>COUNTIFS('Calendar'!$F$4:$F$33,"Voiceover before/after",'Calendar'!$J$4:$J$33,"&gt;0")</f>
        <v/>
      </c>
      <c r="C7" s="24">
        <f>IFERROR(ROUND(AVERAGEIFS('Calendar'!$J$4:$J$33,'Calendar'!$F$4:$F$33,"Voiceover before/after",'Calendar'!$J$4:$J$33,"&gt;0"),0),"")</f>
        <v/>
      </c>
      <c r="D7" s="24">
        <f>IFERROR(ROUND((SUMIFS('Calendar'!$L$4:$L$33,'Calendar'!$F$4:$F$33,"Voiceover before/after")+SUMIFS('Calendar'!$M$4:$M$33,'Calendar'!$F$4:$F$33,"Voiceover before/after"))/COUNTIFS('Calendar'!$F$4:$F$33,"Voiceover before/after",'Calendar'!$J$4:$J$33,"&gt;0"),1),"")</f>
        <v/>
      </c>
    </row>
    <row r="8">
      <c r="A8" s="15" t="inlineStr">
        <is>
          <t>List of three</t>
        </is>
      </c>
      <c r="B8" s="24">
        <f>COUNTIFS('Calendar'!$F$4:$F$33,"List of three",'Calendar'!$J$4:$J$33,"&gt;0")</f>
        <v/>
      </c>
      <c r="C8" s="24">
        <f>IFERROR(ROUND(AVERAGEIFS('Calendar'!$J$4:$J$33,'Calendar'!$F$4:$F$33,"List of three",'Calendar'!$J$4:$J$33,"&gt;0"),0),"")</f>
        <v/>
      </c>
      <c r="D8" s="24">
        <f>IFERROR(ROUND((SUMIFS('Calendar'!$L$4:$L$33,'Calendar'!$F$4:$F$33,"List of three")+SUMIFS('Calendar'!$M$4:$M$33,'Calendar'!$F$4:$F$33,"List of three"))/COUNTIFS('Calendar'!$F$4:$F$33,"List of three",'Calendar'!$J$4:$J$33,"&gt;0"),1),"")</f>
        <v/>
      </c>
    </row>
    <row r="9">
      <c r="A9" s="15" t="inlineStr">
        <is>
          <t>Day in the life</t>
        </is>
      </c>
      <c r="B9" s="24">
        <f>COUNTIFS('Calendar'!$F$4:$F$33,"Day in the life",'Calendar'!$J$4:$J$33,"&gt;0")</f>
        <v/>
      </c>
      <c r="C9" s="24">
        <f>IFERROR(ROUND(AVERAGEIFS('Calendar'!$J$4:$J$33,'Calendar'!$F$4:$F$33,"Day in the life",'Calendar'!$J$4:$J$33,"&gt;0"),0),"")</f>
        <v/>
      </c>
      <c r="D9" s="24">
        <f>IFERROR(ROUND((SUMIFS('Calendar'!$L$4:$L$33,'Calendar'!$F$4:$F$33,"Day in the life")+SUMIFS('Calendar'!$M$4:$M$33,'Calendar'!$F$4:$F$33,"Day in the life"))/COUNTIFS('Calendar'!$F$4:$F$33,"Day in the life",'Calendar'!$J$4:$J$33,"&gt;0"),1),"")</f>
        <v/>
      </c>
    </row>
    <row r="10">
      <c r="A10" s="15" t="inlineStr">
        <is>
          <t>Tutorial</t>
        </is>
      </c>
      <c r="B10" s="24">
        <f>COUNTIFS('Calendar'!$F$4:$F$33,"Tutorial",'Calendar'!$J$4:$J$33,"&gt;0")</f>
        <v/>
      </c>
      <c r="C10" s="24">
        <f>IFERROR(ROUND(AVERAGEIFS('Calendar'!$J$4:$J$33,'Calendar'!$F$4:$F$33,"Tutorial",'Calendar'!$J$4:$J$33,"&gt;0"),0),"")</f>
        <v/>
      </c>
      <c r="D10" s="24">
        <f>IFERROR(ROUND((SUMIFS('Calendar'!$L$4:$L$33,'Calendar'!$F$4:$F$33,"Tutorial")+SUMIFS('Calendar'!$M$4:$M$33,'Calendar'!$F$4:$F$33,"Tutorial"))/COUNTIFS('Calendar'!$F$4:$F$33,"Tutorial",'Calendar'!$J$4:$J$33,"&gt;0"),1),"")</f>
        <v/>
      </c>
    </row>
    <row r="11">
      <c r="A11" s="15" t="inlineStr">
        <is>
          <t>Story time</t>
        </is>
      </c>
      <c r="B11" s="24">
        <f>COUNTIFS('Calendar'!$F$4:$F$33,"Story time",'Calendar'!$J$4:$J$33,"&gt;0")</f>
        <v/>
      </c>
      <c r="C11" s="24">
        <f>IFERROR(ROUND(AVERAGEIFS('Calendar'!$J$4:$J$33,'Calendar'!$F$4:$F$33,"Story time",'Calendar'!$J$4:$J$33,"&gt;0"),0),"")</f>
        <v/>
      </c>
      <c r="D11" s="24">
        <f>IFERROR(ROUND((SUMIFS('Calendar'!$L$4:$L$33,'Calendar'!$F$4:$F$33,"Story time")+SUMIFS('Calendar'!$M$4:$M$33,'Calendar'!$F$4:$F$33,"Story time"))/COUNTIFS('Calendar'!$F$4:$F$33,"Story time",'Calendar'!$J$4:$J$33,"&gt;0"),1),"")</f>
        <v/>
      </c>
    </row>
    <row r="13">
      <c r="A13" s="1" t="inlineStr">
        <is>
          <t>BY PILLAR</t>
        </is>
      </c>
      <c r="B13" s="1" t="inlineStr">
        <is>
          <t>Posts</t>
        </is>
      </c>
      <c r="C13" s="1" t="inlineStr">
        <is>
          <t>Avg views</t>
        </is>
      </c>
      <c r="D13" s="1" t="inlineStr">
        <is>
          <t>Avg comments + DMs</t>
        </is>
      </c>
    </row>
    <row r="14">
      <c r="A14" s="15" t="inlineStr">
        <is>
          <t>Teach</t>
        </is>
      </c>
      <c r="B14" s="24">
        <f>COUNTIFS('Calendar'!$C$4:$C$33,"Teach",'Calendar'!$J$4:$J$33,"&gt;0")</f>
        <v/>
      </c>
      <c r="C14" s="24">
        <f>IFERROR(ROUND(AVERAGEIFS('Calendar'!$J$4:$J$33,'Calendar'!$C$4:$C$33,"Teach",'Calendar'!$J$4:$J$33,"&gt;0"),0),"")</f>
        <v/>
      </c>
      <c r="D14" s="24">
        <f>IFERROR(ROUND((SUMIFS('Calendar'!$L$4:$L$33,'Calendar'!$C$4:$C$33,"Teach")+SUMIFS('Calendar'!$M$4:$M$33,'Calendar'!$C$4:$C$33,"Teach"))/COUNTIFS('Calendar'!$C$4:$C$33,"Teach",'Calendar'!$J$4:$J$33,"&gt;0"),1),"")</f>
        <v/>
      </c>
    </row>
    <row r="15">
      <c r="A15" s="15" t="inlineStr">
        <is>
          <t>Proof</t>
        </is>
      </c>
      <c r="B15" s="24">
        <f>COUNTIFS('Calendar'!$C$4:$C$33,"Proof",'Calendar'!$J$4:$J$33,"&gt;0")</f>
        <v/>
      </c>
      <c r="C15" s="24">
        <f>IFERROR(ROUND(AVERAGEIFS('Calendar'!$J$4:$J$33,'Calendar'!$C$4:$C$33,"Proof",'Calendar'!$J$4:$J$33,"&gt;0"),0),"")</f>
        <v/>
      </c>
      <c r="D15" s="24">
        <f>IFERROR(ROUND((SUMIFS('Calendar'!$L$4:$L$33,'Calendar'!$C$4:$C$33,"Proof")+SUMIFS('Calendar'!$M$4:$M$33,'Calendar'!$C$4:$C$33,"Proof"))/COUNTIFS('Calendar'!$C$4:$C$33,"Proof",'Calendar'!$J$4:$J$33,"&gt;0"),1),"")</f>
        <v/>
      </c>
    </row>
    <row r="16">
      <c r="A16" s="15" t="inlineStr">
        <is>
          <t>You</t>
        </is>
      </c>
      <c r="B16" s="24">
        <f>COUNTIFS('Calendar'!$C$4:$C$33,"You",'Calendar'!$J$4:$J$33,"&gt;0")</f>
        <v/>
      </c>
      <c r="C16" s="24">
        <f>IFERROR(ROUND(AVERAGEIFS('Calendar'!$J$4:$J$33,'Calendar'!$C$4:$C$33,"You",'Calendar'!$J$4:$J$33,"&gt;0"),0),"")</f>
        <v/>
      </c>
      <c r="D16" s="24">
        <f>IFERROR(ROUND((SUMIFS('Calendar'!$L$4:$L$33,'Calendar'!$C$4:$C$33,"You")+SUMIFS('Calendar'!$M$4:$M$33,'Calendar'!$C$4:$C$33,"You"))/COUNTIFS('Calendar'!$C$4:$C$33,"You",'Calendar'!$J$4:$J$33,"&gt;0"),1),"")</f>
        <v/>
      </c>
    </row>
    <row r="18">
      <c r="A18" s="1" t="inlineStr">
        <is>
          <t>DO MORE OF WHAT WORKS</t>
        </is>
      </c>
    </row>
    <row r="19">
      <c r="A19" s="25" t="inlineStr">
        <is>
          <t>Best format for reach (avg views)</t>
        </is>
      </c>
      <c r="B19" s="26">
        <f>IF(COUNT($C$5:$C$11)=0,"Log results 48 hours after posting",INDEX($A$5:$A$11,MATCH(MAX($C$5:$C$11),$C$5:$C$11,0)))</f>
        <v/>
      </c>
    </row>
    <row r="20">
      <c r="A20" s="25" t="inlineStr">
        <is>
          <t>Best format for trust (comments + DMs)</t>
        </is>
      </c>
      <c r="B20" s="26">
        <f>IF(COUNT($D$5:$D$11)=0,"",INDEX($A$5:$A$11,MATCH(MAX($D$5:$D$11),$D$5:$D$11,0)))</f>
        <v/>
      </c>
    </row>
    <row r="21">
      <c r="A21" s="15" t="inlineStr">
        <is>
          <t>Your average views so far</t>
        </is>
      </c>
      <c r="B21" s="24">
        <f>IFERROR(ROUND(AVERAGEIF('Calendar'!$J$4:$J$33,"&gt;0"),0),"")</f>
        <v/>
      </c>
    </row>
    <row r="22">
      <c r="A22" s="15" t="inlineStr">
        <is>
          <t>Posts published</t>
        </is>
      </c>
      <c r="B22" s="24">
        <f>COUNTIF('Calendar'!$H$4:$H$33,"Posted")</f>
        <v/>
      </c>
    </row>
    <row r="23" ht="44" customHeight="1">
      <c r="A23" s="15" t="inlineStr">
        <is>
          <t>Why the winner worked (your words)</t>
        </is>
      </c>
      <c r="B23" s="17" t="inlineStr">
        <is>
          <t>The result shows up in the first second. People comment to ask about their own pair.</t>
        </is>
      </c>
    </row>
    <row r="24" ht="30" customHeight="1">
      <c r="A24" s="15" t="inlineStr">
        <is>
          <t>Next week you will reuse</t>
        </is>
      </c>
      <c r="B24" s="17" t="inlineStr">
        <is>
          <t>Voiceover before and after, with the comment CLEAN call to action</t>
        </is>
      </c>
    </row>
  </sheetData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127</dc:creator>
  <dc:title xmlns:dc="http://purl.org/dc/elements/1.1/">30-Day Content Planner</dc:title>
  <dcterms:created xmlns:dcterms="http://purl.org/dc/terms/" xmlns:xsi="http://www.w3.org/2001/XMLSchema-instance" xsi:type="dcterms:W3CDTF">2026-10-16T10:26:39Z</dcterms:created>
  <dcterms:modified xmlns:dcterms="http://purl.org/dc/terms/" xmlns:xsi="http://www.w3.org/2001/XMLSchema-instance" xsi:type="dcterms:W3CDTF">2026-10-16T10:26:39Z</dcterms:modified>
</cp:coreProperties>
</file>