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Phrases" sheetId="3" state="visible" r:id="rId3"/>
    <sheet xmlns:r="http://schemas.openxmlformats.org/officeDocument/2006/relationships" name="Verdict" sheetId="4" state="visible" r:id="rId4"/>
  </sheets>
  <definedNames>
    <definedName name="_xlnm._FilterDatabase" localSheetId="1" hidden="1">'Interviews'!$A$3:$J$28</definedName>
    <definedName name="_xlnm.Print_Titles" localSheetId="1">'Interviews'!$3:$3</definedName>
    <definedName name="_xlnm._FilterDatabase" localSheetId="2" hidden="1">'Phrases'!$A$3:$N$33</definedName>
    <definedName name="_xlnm.Print_Titles" localSheetId="2">'Phrases'!$3:$3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2" fillId="6" borderId="2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F3E7"/>
          <bgColor rgb="00DDF3E7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  <dxf>
      <font>
        <name val="Arial"/>
        <b val="1"/>
      </font>
      <fill>
        <patternFill patternType="solid">
          <fgColor rgb="00ECEEFB"/>
          <bgColor rgb="00EC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Interview Synthesis</t>
        </is>
      </c>
    </row>
    <row r="4" ht="30" customHeight="1">
      <c r="B4" s="3" t="inlineStr">
        <is>
          <t>Lay your interviews side by side, count the phrases people repeat, and get a kill, pause or double down call backed by evidence.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In Interviews, give each conversation one row. Fill it from your notes, using their words.</t>
        </is>
      </c>
    </row>
    <row r="8" ht="32" customHeight="1">
      <c r="B8" s="4" t="inlineStr">
        <is>
          <t>2.  In Phrases, paste any phrase that sounds like it could be a headline. Mark an x under every interview where you heard it.</t>
        </is>
      </c>
    </row>
    <row r="9" ht="16" customHeight="1">
      <c r="B9" s="4" t="inlineStr">
        <is>
          <t>3.  Phrases heard 3 or more times turn lilac. Those are your headline, offer and ad words.</t>
        </is>
      </c>
    </row>
    <row r="10" ht="16" customHeight="1">
      <c r="B10" s="4" t="inlineStr">
        <is>
          <t>4.  Open Verdict. The sheet suggests kill, pause or double down from your evidence.</t>
        </is>
      </c>
    </row>
    <row r="11" ht="16" customHeight="1">
      <c r="B11" s="4" t="inlineStr">
        <is>
          <t>5.  Make your own call, write why, and if it's a pause, the one thing you'll change.</t>
        </is>
      </c>
    </row>
    <row r="12" ht="16" customHeight="1">
      <c r="B12" s="4" t="inlineStr">
        <is>
          <t>6.  Double down? Take your top phrases into the One-Page Offer this week.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15" customHeight="1">
      <c r="B24" s="9" t="inlineStr">
        <is>
          <t>Ten interviews won't prove product-market fit. They show which direction you're heading.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3" customWidth="1" min="4" max="4"/>
    <col width="26" customWidth="1" min="5" max="5"/>
    <col width="12" customWidth="1" min="6" max="6"/>
    <col width="20" customWidth="1" min="7" max="7"/>
    <col width="8" customWidth="1" min="8" max="8"/>
    <col width="13" customWidth="1" min="9" max="9"/>
    <col width="34" customWidth="1" min="10" max="10"/>
  </cols>
  <sheetData>
    <row r="1" ht="26" customHeight="1">
      <c r="A1" s="12" t="inlineStr">
        <is>
          <t>Your interviews, side by side</t>
        </is>
      </c>
    </row>
    <row r="2" ht="16" customHeight="1">
      <c r="A2" s="13" t="inlineStr">
        <is>
          <t>One row per conversation. Use their words, not yours.</t>
        </is>
      </c>
    </row>
    <row r="3" ht="40" customHeight="1">
      <c r="A3" s="14" t="inlineStr">
        <is>
          <t>#</t>
        </is>
      </c>
      <c r="B3" s="14" t="inlineStr">
        <is>
          <t>Who (name or handle)</t>
        </is>
      </c>
      <c r="C3" s="14" t="inlineStr">
        <is>
          <t>Has the problem?</t>
        </is>
      </c>
      <c r="D3" s="14" t="inlineStr">
        <is>
          <t>Last time it happened</t>
        </is>
      </c>
      <c r="E3" s="14" t="inlineStr">
        <is>
          <t>How they solve it today</t>
        </is>
      </c>
      <c r="F3" s="14" t="inlineStr">
        <is>
          <t>Pays today (money or real time)?</t>
        </is>
      </c>
      <c r="G3" s="14" t="inlineStr">
        <is>
          <t>What it costs them</t>
        </is>
      </c>
      <c r="H3" s="14" t="inlineStr">
        <is>
          <t>Pain 1-5</t>
        </is>
      </c>
      <c r="I3" s="14" t="inlineStr">
        <is>
          <t>Asked to buy or "when can I get this?"</t>
        </is>
      </c>
      <c r="J3" s="14" t="inlineStr">
        <is>
          <t>Best quote, exact words</t>
        </is>
      </c>
    </row>
    <row r="4">
      <c r="A4" s="15" t="n">
        <v>1</v>
      </c>
      <c r="B4" s="15" t="n"/>
      <c r="C4" s="15" t="n"/>
      <c r="D4" s="15" t="n"/>
      <c r="E4" s="16" t="n"/>
      <c r="F4" s="15" t="n"/>
      <c r="G4" s="15" t="n"/>
      <c r="H4" s="15" t="n"/>
      <c r="I4" s="15" t="n"/>
      <c r="J4" s="16" t="n"/>
    </row>
    <row r="5">
      <c r="A5" s="15" t="n">
        <v>2</v>
      </c>
      <c r="B5" s="15" t="n"/>
      <c r="C5" s="15" t="n"/>
      <c r="D5" s="15" t="n"/>
      <c r="E5" s="16" t="n"/>
      <c r="F5" s="15" t="n"/>
      <c r="G5" s="15" t="n"/>
      <c r="H5" s="15" t="n"/>
      <c r="I5" s="15" t="n"/>
      <c r="J5" s="16" t="n"/>
    </row>
    <row r="6">
      <c r="A6" s="15" t="n">
        <v>3</v>
      </c>
      <c r="B6" s="15" t="n"/>
      <c r="C6" s="15" t="n"/>
      <c r="D6" s="15" t="n"/>
      <c r="E6" s="16" t="n"/>
      <c r="F6" s="15" t="n"/>
      <c r="G6" s="15" t="n"/>
      <c r="H6" s="15" t="n"/>
      <c r="I6" s="15" t="n"/>
      <c r="J6" s="16" t="n"/>
    </row>
    <row r="7">
      <c r="A7" s="15" t="n">
        <v>4</v>
      </c>
      <c r="B7" s="15" t="n"/>
      <c r="C7" s="15" t="n"/>
      <c r="D7" s="15" t="n"/>
      <c r="E7" s="16" t="n"/>
      <c r="F7" s="15" t="n"/>
      <c r="G7" s="15" t="n"/>
      <c r="H7" s="15" t="n"/>
      <c r="I7" s="15" t="n"/>
      <c r="J7" s="16" t="n"/>
    </row>
    <row r="8">
      <c r="A8" s="15" t="n">
        <v>5</v>
      </c>
      <c r="B8" s="15" t="n"/>
      <c r="C8" s="15" t="n"/>
      <c r="D8" s="15" t="n"/>
      <c r="E8" s="16" t="n"/>
      <c r="F8" s="15" t="n"/>
      <c r="G8" s="15" t="n"/>
      <c r="H8" s="15" t="n"/>
      <c r="I8" s="15" t="n"/>
      <c r="J8" s="16" t="n"/>
    </row>
    <row r="9">
      <c r="A9" s="15" t="n">
        <v>6</v>
      </c>
      <c r="B9" s="15" t="n"/>
      <c r="C9" s="15" t="n"/>
      <c r="D9" s="15" t="n"/>
      <c r="E9" s="16" t="n"/>
      <c r="F9" s="15" t="n"/>
      <c r="G9" s="15" t="n"/>
      <c r="H9" s="15" t="n"/>
      <c r="I9" s="15" t="n"/>
      <c r="J9" s="16" t="n"/>
    </row>
    <row r="10">
      <c r="A10" s="15" t="n">
        <v>7</v>
      </c>
      <c r="B10" s="15" t="n"/>
      <c r="C10" s="15" t="n"/>
      <c r="D10" s="15" t="n"/>
      <c r="E10" s="16" t="n"/>
      <c r="F10" s="15" t="n"/>
      <c r="G10" s="15" t="n"/>
      <c r="H10" s="15" t="n"/>
      <c r="I10" s="15" t="n"/>
      <c r="J10" s="16" t="n"/>
    </row>
    <row r="11">
      <c r="A11" s="15" t="n">
        <v>8</v>
      </c>
      <c r="B11" s="15" t="n"/>
      <c r="C11" s="15" t="n"/>
      <c r="D11" s="15" t="n"/>
      <c r="E11" s="16" t="n"/>
      <c r="F11" s="15" t="n"/>
      <c r="G11" s="15" t="n"/>
      <c r="H11" s="15" t="n"/>
      <c r="I11" s="15" t="n"/>
      <c r="J11" s="16" t="n"/>
    </row>
    <row r="12">
      <c r="A12" s="15" t="n">
        <v>9</v>
      </c>
      <c r="B12" s="15" t="n"/>
      <c r="C12" s="15" t="n"/>
      <c r="D12" s="15" t="n"/>
      <c r="E12" s="16" t="n"/>
      <c r="F12" s="15" t="n"/>
      <c r="G12" s="15" t="n"/>
      <c r="H12" s="15" t="n"/>
      <c r="I12" s="15" t="n"/>
      <c r="J12" s="16" t="n"/>
    </row>
    <row r="13">
      <c r="A13" s="15" t="n">
        <v>10</v>
      </c>
      <c r="B13" s="15" t="n"/>
      <c r="C13" s="15" t="n"/>
      <c r="D13" s="15" t="n"/>
      <c r="E13" s="16" t="n"/>
      <c r="F13" s="15" t="n"/>
      <c r="G13" s="15" t="n"/>
      <c r="H13" s="15" t="n"/>
      <c r="I13" s="15" t="n"/>
      <c r="J13" s="16" t="n"/>
    </row>
    <row r="14">
      <c r="A14" s="15" t="n">
        <v>11</v>
      </c>
      <c r="B14" s="15" t="n"/>
      <c r="C14" s="15" t="n"/>
      <c r="D14" s="15" t="n"/>
      <c r="E14" s="16" t="n"/>
      <c r="F14" s="15" t="n"/>
      <c r="G14" s="15" t="n"/>
      <c r="H14" s="15" t="n"/>
      <c r="I14" s="15" t="n"/>
      <c r="J14" s="16" t="n"/>
    </row>
    <row r="15">
      <c r="A15" s="15" t="n">
        <v>12</v>
      </c>
      <c r="B15" s="15" t="n"/>
      <c r="C15" s="15" t="n"/>
      <c r="D15" s="15" t="n"/>
      <c r="E15" s="16" t="n"/>
      <c r="F15" s="15" t="n"/>
      <c r="G15" s="15" t="n"/>
      <c r="H15" s="15" t="n"/>
      <c r="I15" s="15" t="n"/>
      <c r="J15" s="16" t="n"/>
    </row>
    <row r="16">
      <c r="A16" s="15" t="n">
        <v>13</v>
      </c>
      <c r="B16" s="15" t="n"/>
      <c r="C16" s="15" t="n"/>
      <c r="D16" s="15" t="n"/>
      <c r="E16" s="16" t="n"/>
      <c r="F16" s="15" t="n"/>
      <c r="G16" s="15" t="n"/>
      <c r="H16" s="15" t="n"/>
      <c r="I16" s="15" t="n"/>
      <c r="J16" s="16" t="n"/>
    </row>
    <row r="17">
      <c r="A17" s="15" t="n">
        <v>14</v>
      </c>
      <c r="B17" s="15" t="n"/>
      <c r="C17" s="15" t="n"/>
      <c r="D17" s="15" t="n"/>
      <c r="E17" s="16" t="n"/>
      <c r="F17" s="15" t="n"/>
      <c r="G17" s="15" t="n"/>
      <c r="H17" s="15" t="n"/>
      <c r="I17" s="15" t="n"/>
      <c r="J17" s="16" t="n"/>
    </row>
    <row r="18">
      <c r="A18" s="15" t="n">
        <v>15</v>
      </c>
      <c r="B18" s="15" t="n"/>
      <c r="C18" s="15" t="n"/>
      <c r="D18" s="15" t="n"/>
      <c r="E18" s="16" t="n"/>
      <c r="F18" s="15" t="n"/>
      <c r="G18" s="15" t="n"/>
      <c r="H18" s="15" t="n"/>
      <c r="I18" s="15" t="n"/>
      <c r="J18" s="16" t="n"/>
    </row>
    <row r="19">
      <c r="A19" s="15" t="n">
        <v>16</v>
      </c>
      <c r="B19" s="15" t="n"/>
      <c r="C19" s="15" t="n"/>
      <c r="D19" s="15" t="n"/>
      <c r="E19" s="16" t="n"/>
      <c r="F19" s="15" t="n"/>
      <c r="G19" s="15" t="n"/>
      <c r="H19" s="15" t="n"/>
      <c r="I19" s="15" t="n"/>
      <c r="J19" s="16" t="n"/>
    </row>
    <row r="20">
      <c r="A20" s="15" t="n">
        <v>17</v>
      </c>
      <c r="B20" s="15" t="n"/>
      <c r="C20" s="15" t="n"/>
      <c r="D20" s="15" t="n"/>
      <c r="E20" s="16" t="n"/>
      <c r="F20" s="15" t="n"/>
      <c r="G20" s="15" t="n"/>
      <c r="H20" s="15" t="n"/>
      <c r="I20" s="15" t="n"/>
      <c r="J20" s="16" t="n"/>
    </row>
    <row r="21">
      <c r="A21" s="15" t="n">
        <v>18</v>
      </c>
      <c r="B21" s="15" t="n"/>
      <c r="C21" s="15" t="n"/>
      <c r="D21" s="15" t="n"/>
      <c r="E21" s="16" t="n"/>
      <c r="F21" s="15" t="n"/>
      <c r="G21" s="15" t="n"/>
      <c r="H21" s="15" t="n"/>
      <c r="I21" s="15" t="n"/>
      <c r="J21" s="16" t="n"/>
    </row>
    <row r="22">
      <c r="A22" s="15" t="n">
        <v>19</v>
      </c>
      <c r="B22" s="15" t="n"/>
      <c r="C22" s="15" t="n"/>
      <c r="D22" s="15" t="n"/>
      <c r="E22" s="16" t="n"/>
      <c r="F22" s="15" t="n"/>
      <c r="G22" s="15" t="n"/>
      <c r="H22" s="15" t="n"/>
      <c r="I22" s="15" t="n"/>
      <c r="J22" s="16" t="n"/>
    </row>
    <row r="23">
      <c r="A23" s="15" t="n">
        <v>20</v>
      </c>
      <c r="B23" s="15" t="n"/>
      <c r="C23" s="15" t="n"/>
      <c r="D23" s="15" t="n"/>
      <c r="E23" s="16" t="n"/>
      <c r="F23" s="15" t="n"/>
      <c r="G23" s="15" t="n"/>
      <c r="H23" s="15" t="n"/>
      <c r="I23" s="15" t="n"/>
      <c r="J23" s="16" t="n"/>
    </row>
    <row r="24">
      <c r="A24" s="15" t="n">
        <v>21</v>
      </c>
      <c r="B24" s="15" t="n"/>
      <c r="C24" s="15" t="n"/>
      <c r="D24" s="15" t="n"/>
      <c r="E24" s="16" t="n"/>
      <c r="F24" s="15" t="n"/>
      <c r="G24" s="15" t="n"/>
      <c r="H24" s="15" t="n"/>
      <c r="I24" s="15" t="n"/>
      <c r="J24" s="16" t="n"/>
    </row>
    <row r="25">
      <c r="A25" s="15" t="n">
        <v>22</v>
      </c>
      <c r="B25" s="15" t="n"/>
      <c r="C25" s="15" t="n"/>
      <c r="D25" s="15" t="n"/>
      <c r="E25" s="16" t="n"/>
      <c r="F25" s="15" t="n"/>
      <c r="G25" s="15" t="n"/>
      <c r="H25" s="15" t="n"/>
      <c r="I25" s="15" t="n"/>
      <c r="J25" s="16" t="n"/>
    </row>
    <row r="26">
      <c r="A26" s="15" t="n">
        <v>23</v>
      </c>
      <c r="B26" s="15" t="n"/>
      <c r="C26" s="15" t="n"/>
      <c r="D26" s="15" t="n"/>
      <c r="E26" s="16" t="n"/>
      <c r="F26" s="15" t="n"/>
      <c r="G26" s="15" t="n"/>
      <c r="H26" s="15" t="n"/>
      <c r="I26" s="15" t="n"/>
      <c r="J26" s="16" t="n"/>
    </row>
    <row r="27">
      <c r="A27" s="15" t="n">
        <v>24</v>
      </c>
      <c r="B27" s="15" t="n"/>
      <c r="C27" s="15" t="n"/>
      <c r="D27" s="15" t="n"/>
      <c r="E27" s="16" t="n"/>
      <c r="F27" s="15" t="n"/>
      <c r="G27" s="15" t="n"/>
      <c r="H27" s="15" t="n"/>
      <c r="I27" s="15" t="n"/>
      <c r="J27" s="16" t="n"/>
    </row>
    <row r="28">
      <c r="A28" s="15" t="n">
        <v>25</v>
      </c>
      <c r="B28" s="15" t="n"/>
      <c r="C28" s="15" t="n"/>
      <c r="D28" s="15" t="n"/>
      <c r="E28" s="16" t="n"/>
      <c r="F28" s="15" t="n"/>
      <c r="G28" s="15" t="n"/>
      <c r="H28" s="15" t="n"/>
      <c r="I28" s="15" t="n"/>
      <c r="J28" s="16" t="n"/>
    </row>
  </sheetData>
  <autoFilter ref="A3:J28"/>
  <conditionalFormatting sqref="F4:F28">
    <cfRule type="expression" priority="1" dxfId="0" stopIfTrue="0">
      <formula>$F4="Yes"</formula>
    </cfRule>
  </conditionalFormatting>
  <conditionalFormatting sqref="I4:I28">
    <cfRule type="expression" priority="2" dxfId="1" stopIfTrue="0">
      <formula>$I4="Yes"</formula>
    </cfRule>
  </conditionalFormatting>
  <conditionalFormatting sqref="D4:D28">
    <cfRule type="expression" priority="3" dxfId="2" stopIfTrue="0">
      <formula>$D4="Can't remember"</formula>
    </cfRule>
  </conditionalFormatting>
  <dataValidations count="5">
    <dataValidation sqref="C4:C28" showDropDown="0" showInputMessage="0" showErrorMessage="0" allowBlank="1" type="list">
      <formula1>"Yes,No"</formula1>
    </dataValidation>
    <dataValidation sqref="D4:D28" showDropDown="0" showInputMessage="0" showErrorMessage="0" allowBlank="1" type="list">
      <formula1>"This week,This month,This year,Can't remember"</formula1>
    </dataValidation>
    <dataValidation sqref="F4:F28" showDropDown="0" showInputMessage="0" showErrorMessage="0" allowBlank="1" type="list">
      <formula1>"Yes,No"</formula1>
    </dataValidation>
    <dataValidation sqref="H4:H28" showDropDown="0" showInputMessage="0" showErrorMessage="0" allowBlank="1" type="list">
      <formula1>"1,2,3,4,5"</formula1>
    </dataValidation>
    <dataValidation sqref="I4:I28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8" customWidth="1" min="13" max="13"/>
    <col width="22" customWidth="1" min="14" max="14"/>
  </cols>
  <sheetData>
    <row r="1" ht="26" customHeight="1">
      <c r="A1" s="12" t="inlineStr">
        <is>
          <t>Phrases that repeat</t>
        </is>
      </c>
    </row>
    <row r="2" ht="16" customHeight="1">
      <c r="A2" s="13" t="inlineStr">
        <is>
          <t>Mark an x under every interview number where you heard the phrase (or something very close).</t>
        </is>
      </c>
    </row>
    <row r="3" ht="40" customHeight="1">
      <c r="A3" s="14" t="inlineStr">
        <is>
          <t>Phrase, exact words</t>
        </is>
      </c>
      <c r="B3" s="14" t="inlineStr">
        <is>
          <t>Type</t>
        </is>
      </c>
      <c r="C3" s="14" t="inlineStr">
        <is>
          <t>#1</t>
        </is>
      </c>
      <c r="D3" s="14" t="inlineStr">
        <is>
          <t>#2</t>
        </is>
      </c>
      <c r="E3" s="14" t="inlineStr">
        <is>
          <t>#3</t>
        </is>
      </c>
      <c r="F3" s="14" t="inlineStr">
        <is>
          <t>#4</t>
        </is>
      </c>
      <c r="G3" s="14" t="inlineStr">
        <is>
          <t>#5</t>
        </is>
      </c>
      <c r="H3" s="14" t="inlineStr">
        <is>
          <t>#6</t>
        </is>
      </c>
      <c r="I3" s="14" t="inlineStr">
        <is>
          <t>#7</t>
        </is>
      </c>
      <c r="J3" s="14" t="inlineStr">
        <is>
          <t>#8</t>
        </is>
      </c>
      <c r="K3" s="14" t="inlineStr">
        <is>
          <t>#9</t>
        </is>
      </c>
      <c r="L3" s="14" t="inlineStr">
        <is>
          <t>#10</t>
        </is>
      </c>
      <c r="M3" s="17" t="inlineStr">
        <is>
          <t>Times heard</t>
        </is>
      </c>
      <c r="N3" s="17" t="inlineStr">
        <is>
          <t>Use it for</t>
        </is>
      </c>
    </row>
    <row r="4">
      <c r="A4" s="16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8">
        <f>IF(A4="","",COUNTIF(C4:L4,"x"))</f>
        <v/>
      </c>
      <c r="N4" s="19">
        <f>IF(M4="","",IF(M4&gt;=3,"Headline / offer / ads",IF(M4=2,"Watch for it","Not yet a pattern")))</f>
        <v/>
      </c>
    </row>
    <row r="5">
      <c r="A5" s="16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8">
        <f>IF(A5="","",COUNTIF(C5:L5,"x"))</f>
        <v/>
      </c>
      <c r="N5" s="19">
        <f>IF(M5="","",IF(M5&gt;=3,"Headline / offer / ads",IF(M5=2,"Watch for it","Not yet a pattern")))</f>
        <v/>
      </c>
    </row>
    <row r="6">
      <c r="A6" s="16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8">
        <f>IF(A6="","",COUNTIF(C6:L6,"x"))</f>
        <v/>
      </c>
      <c r="N6" s="19">
        <f>IF(M6="","",IF(M6&gt;=3,"Headline / offer / ads",IF(M6=2,"Watch for it","Not yet a pattern")))</f>
        <v/>
      </c>
    </row>
    <row r="7">
      <c r="A7" s="16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8">
        <f>IF(A7="","",COUNTIF(C7:L7,"x"))</f>
        <v/>
      </c>
      <c r="N7" s="19">
        <f>IF(M7="","",IF(M7&gt;=3,"Headline / offer / ads",IF(M7=2,"Watch for it","Not yet a pattern")))</f>
        <v/>
      </c>
    </row>
    <row r="8">
      <c r="A8" s="16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8">
        <f>IF(A8="","",COUNTIF(C8:L8,"x"))</f>
        <v/>
      </c>
      <c r="N8" s="19">
        <f>IF(M8="","",IF(M8&gt;=3,"Headline / offer / ads",IF(M8=2,"Watch for it","Not yet a pattern")))</f>
        <v/>
      </c>
    </row>
    <row r="9">
      <c r="A9" s="16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8">
        <f>IF(A9="","",COUNTIF(C9:L9,"x"))</f>
        <v/>
      </c>
      <c r="N9" s="19">
        <f>IF(M9="","",IF(M9&gt;=3,"Headline / offer / ads",IF(M9=2,"Watch for it","Not yet a pattern")))</f>
        <v/>
      </c>
    </row>
    <row r="10">
      <c r="A10" s="16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8">
        <f>IF(A10="","",COUNTIF(C10:L10,"x"))</f>
        <v/>
      </c>
      <c r="N10" s="19">
        <f>IF(M10="","",IF(M10&gt;=3,"Headline / offer / ads",IF(M10=2,"Watch for it","Not yet a pattern")))</f>
        <v/>
      </c>
    </row>
    <row r="11">
      <c r="A11" s="16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8">
        <f>IF(A11="","",COUNTIF(C11:L11,"x"))</f>
        <v/>
      </c>
      <c r="N11" s="19">
        <f>IF(M11="","",IF(M11&gt;=3,"Headline / offer / ads",IF(M11=2,"Watch for it","Not yet a pattern")))</f>
        <v/>
      </c>
    </row>
    <row r="12">
      <c r="A12" s="16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8">
        <f>IF(A12="","",COUNTIF(C12:L12,"x"))</f>
        <v/>
      </c>
      <c r="N12" s="19">
        <f>IF(M12="","",IF(M12&gt;=3,"Headline / offer / ads",IF(M12=2,"Watch for it","Not yet a pattern")))</f>
        <v/>
      </c>
    </row>
    <row r="13">
      <c r="A13" s="16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8">
        <f>IF(A13="","",COUNTIF(C13:L13,"x"))</f>
        <v/>
      </c>
      <c r="N13" s="19">
        <f>IF(M13="","",IF(M13&gt;=3,"Headline / offer / ads",IF(M13=2,"Watch for it","Not yet a pattern")))</f>
        <v/>
      </c>
    </row>
    <row r="14">
      <c r="A14" s="16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8">
        <f>IF(A14="","",COUNTIF(C14:L14,"x"))</f>
        <v/>
      </c>
      <c r="N14" s="19">
        <f>IF(M14="","",IF(M14&gt;=3,"Headline / offer / ads",IF(M14=2,"Watch for it","Not yet a pattern")))</f>
        <v/>
      </c>
    </row>
    <row r="15">
      <c r="A15" s="16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8">
        <f>IF(A15="","",COUNTIF(C15:L15,"x"))</f>
        <v/>
      </c>
      <c r="N15" s="19">
        <f>IF(M15="","",IF(M15&gt;=3,"Headline / offer / ads",IF(M15=2,"Watch for it","Not yet a pattern")))</f>
        <v/>
      </c>
    </row>
    <row r="16">
      <c r="A16" s="16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8">
        <f>IF(A16="","",COUNTIF(C16:L16,"x"))</f>
        <v/>
      </c>
      <c r="N16" s="19">
        <f>IF(M16="","",IF(M16&gt;=3,"Headline / offer / ads",IF(M16=2,"Watch for it","Not yet a pattern")))</f>
        <v/>
      </c>
    </row>
    <row r="17">
      <c r="A17" s="16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8">
        <f>IF(A17="","",COUNTIF(C17:L17,"x"))</f>
        <v/>
      </c>
      <c r="N17" s="19">
        <f>IF(M17="","",IF(M17&gt;=3,"Headline / offer / ads",IF(M17=2,"Watch for it","Not yet a pattern")))</f>
        <v/>
      </c>
    </row>
    <row r="18">
      <c r="A18" s="16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8">
        <f>IF(A18="","",COUNTIF(C18:L18,"x"))</f>
        <v/>
      </c>
      <c r="N18" s="19">
        <f>IF(M18="","",IF(M18&gt;=3,"Headline / offer / ads",IF(M18=2,"Watch for it","Not yet a pattern")))</f>
        <v/>
      </c>
    </row>
    <row r="19">
      <c r="A19" s="16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8">
        <f>IF(A19="","",COUNTIF(C19:L19,"x"))</f>
        <v/>
      </c>
      <c r="N19" s="19">
        <f>IF(M19="","",IF(M19&gt;=3,"Headline / offer / ads",IF(M19=2,"Watch for it","Not yet a pattern")))</f>
        <v/>
      </c>
    </row>
    <row r="20">
      <c r="A20" s="16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8">
        <f>IF(A20="","",COUNTIF(C20:L20,"x"))</f>
        <v/>
      </c>
      <c r="N20" s="19">
        <f>IF(M20="","",IF(M20&gt;=3,"Headline / offer / ads",IF(M20=2,"Watch for it","Not yet a pattern")))</f>
        <v/>
      </c>
    </row>
    <row r="21">
      <c r="A21" s="16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8">
        <f>IF(A21="","",COUNTIF(C21:L21,"x"))</f>
        <v/>
      </c>
      <c r="N21" s="19">
        <f>IF(M21="","",IF(M21&gt;=3,"Headline / offer / ads",IF(M21=2,"Watch for it","Not yet a pattern")))</f>
        <v/>
      </c>
    </row>
    <row r="22">
      <c r="A22" s="16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8">
        <f>IF(A22="","",COUNTIF(C22:L22,"x"))</f>
        <v/>
      </c>
      <c r="N22" s="19">
        <f>IF(M22="","",IF(M22&gt;=3,"Headline / offer / ads",IF(M22=2,"Watch for it","Not yet a pattern")))</f>
        <v/>
      </c>
    </row>
    <row r="23">
      <c r="A23" s="16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8">
        <f>IF(A23="","",COUNTIF(C23:L23,"x"))</f>
        <v/>
      </c>
      <c r="N23" s="19">
        <f>IF(M23="","",IF(M23&gt;=3,"Headline / offer / ads",IF(M23=2,"Watch for it","Not yet a pattern")))</f>
        <v/>
      </c>
    </row>
    <row r="24">
      <c r="A24" s="16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8">
        <f>IF(A24="","",COUNTIF(C24:L24,"x"))</f>
        <v/>
      </c>
      <c r="N24" s="19">
        <f>IF(M24="","",IF(M24&gt;=3,"Headline / offer / ads",IF(M24=2,"Watch for it","Not yet a pattern")))</f>
        <v/>
      </c>
    </row>
    <row r="25">
      <c r="A25" s="16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8">
        <f>IF(A25="","",COUNTIF(C25:L25,"x"))</f>
        <v/>
      </c>
      <c r="N25" s="19">
        <f>IF(M25="","",IF(M25&gt;=3,"Headline / offer / ads",IF(M25=2,"Watch for it","Not yet a pattern")))</f>
        <v/>
      </c>
    </row>
    <row r="26">
      <c r="A26" s="16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8">
        <f>IF(A26="","",COUNTIF(C26:L26,"x"))</f>
        <v/>
      </c>
      <c r="N26" s="19">
        <f>IF(M26="","",IF(M26&gt;=3,"Headline / offer / ads",IF(M26=2,"Watch for it","Not yet a pattern")))</f>
        <v/>
      </c>
    </row>
    <row r="27">
      <c r="A27" s="16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8">
        <f>IF(A27="","",COUNTIF(C27:L27,"x"))</f>
        <v/>
      </c>
      <c r="N27" s="19">
        <f>IF(M27="","",IF(M27&gt;=3,"Headline / offer / ads",IF(M27=2,"Watch for it","Not yet a pattern")))</f>
        <v/>
      </c>
    </row>
    <row r="28">
      <c r="A28" s="16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8">
        <f>IF(A28="","",COUNTIF(C28:L28,"x"))</f>
        <v/>
      </c>
      <c r="N28" s="19">
        <f>IF(M28="","",IF(M28&gt;=3,"Headline / offer / ads",IF(M28=2,"Watch for it","Not yet a pattern")))</f>
        <v/>
      </c>
    </row>
    <row r="29">
      <c r="A29" s="16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8">
        <f>IF(A29="","",COUNTIF(C29:L29,"x"))</f>
        <v/>
      </c>
      <c r="N29" s="19">
        <f>IF(M29="","",IF(M29&gt;=3,"Headline / offer / ads",IF(M29=2,"Watch for it","Not yet a pattern")))</f>
        <v/>
      </c>
    </row>
    <row r="30">
      <c r="A30" s="16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8">
        <f>IF(A30="","",COUNTIF(C30:L30,"x"))</f>
        <v/>
      </c>
      <c r="N30" s="19">
        <f>IF(M30="","",IF(M30&gt;=3,"Headline / offer / ads",IF(M30=2,"Watch for it","Not yet a pattern")))</f>
        <v/>
      </c>
    </row>
    <row r="31">
      <c r="A31" s="16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>
        <f>IF(A31="","",COUNTIF(C31:L31,"x"))</f>
        <v/>
      </c>
      <c r="N31" s="19">
        <f>IF(M31="","",IF(M31&gt;=3,"Headline / offer / ads",IF(M31=2,"Watch for it","Not yet a pattern")))</f>
        <v/>
      </c>
    </row>
    <row r="32">
      <c r="A32" s="16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8">
        <f>IF(A32="","",COUNTIF(C32:L32,"x"))</f>
        <v/>
      </c>
      <c r="N32" s="19">
        <f>IF(M32="","",IF(M32&gt;=3,"Headline / offer / ads",IF(M32=2,"Watch for it","Not yet a pattern")))</f>
        <v/>
      </c>
    </row>
    <row r="33">
      <c r="A33" s="16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8">
        <f>IF(A33="","",COUNTIF(C33:L33,"x"))</f>
        <v/>
      </c>
      <c r="N33" s="19">
        <f>IF(M33="","",IF(M33&gt;=3,"Headline / offer / ads",IF(M33=2,"Watch for it","Not yet a pattern")))</f>
        <v/>
      </c>
    </row>
  </sheetData>
  <autoFilter ref="A3:N33"/>
  <conditionalFormatting sqref="A4:A33 M4:M33 N4:N33">
    <cfRule type="expression" priority="1" dxfId="3" stopIfTrue="0">
      <formula>AND(ISNUMBER($M4),$M4&gt;=3)</formula>
    </cfRule>
  </conditionalFormatting>
  <dataValidations count="11">
    <dataValidation sqref="B4:B33" showDropDown="0" showInputMessage="0" showErrorMessage="0" allowBlank="1" type="list">
      <formula1>"Pain,Desire,Objection,Their word for the result"</formula1>
    </dataValidation>
    <dataValidation sqref="C4:C33" showDropDown="0" showInputMessage="0" showErrorMessage="0" allowBlank="1" type="list">
      <formula1>"x"</formula1>
    </dataValidation>
    <dataValidation sqref="D4:D33" showDropDown="0" showInputMessage="0" showErrorMessage="0" allowBlank="1" type="list">
      <formula1>"x"</formula1>
    </dataValidation>
    <dataValidation sqref="E4:E33" showDropDown="0" showInputMessage="0" showErrorMessage="0" allowBlank="1" type="list">
      <formula1>"x"</formula1>
    </dataValidation>
    <dataValidation sqref="F4:F33" showDropDown="0" showInputMessage="0" showErrorMessage="0" allowBlank="1" type="list">
      <formula1>"x"</formula1>
    </dataValidation>
    <dataValidation sqref="G4:G33" showDropDown="0" showInputMessage="0" showErrorMessage="0" allowBlank="1" type="list">
      <formula1>"x"</formula1>
    </dataValidation>
    <dataValidation sqref="H4:H33" showDropDown="0" showInputMessage="0" showErrorMessage="0" allowBlank="1" type="list">
      <formula1>"x"</formula1>
    </dataValidation>
    <dataValidation sqref="I4:I33" showDropDown="0" showInputMessage="0" showErrorMessage="0" allowBlank="1" type="list">
      <formula1>"x"</formula1>
    </dataValidation>
    <dataValidation sqref="J4:J33" showDropDown="0" showInputMessage="0" showErrorMessage="0" allowBlank="1" type="list">
      <formula1>"x"</formula1>
    </dataValidation>
    <dataValidation sqref="K4:K33" showDropDown="0" showInputMessage="0" showErrorMessage="0" allowBlank="1" type="list">
      <formula1>"x"</formula1>
    </dataValidation>
    <dataValidation sqref="L4:L33" showDropDown="0" showInputMessage="0" showErrorMessage="0" allowBlank="1" type="list">
      <formula1>"x"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62" customWidth="1" min="2" max="2"/>
  </cols>
  <sheetData>
    <row r="1" ht="26" customHeight="1">
      <c r="A1" s="12" t="inlineStr">
        <is>
          <t>Kill, pause or double down</t>
        </is>
      </c>
    </row>
    <row r="2">
      <c r="A2" s="13" t="inlineStr">
        <is>
          <t>The suggestion follows Eli's rule. You make the final call.</t>
        </is>
      </c>
    </row>
    <row r="4">
      <c r="A4" s="1" t="inlineStr">
        <is>
          <t>THE EVIDENCE</t>
        </is>
      </c>
    </row>
    <row r="5">
      <c r="A5" s="20" t="inlineStr">
        <is>
          <t>Interviews logged</t>
        </is>
      </c>
      <c r="B5" s="21">
        <f>COUNTA('Interviews'!$B$4:$B$28)</f>
        <v/>
      </c>
    </row>
    <row r="6">
      <c r="A6" s="20" t="inlineStr">
        <is>
          <t>Share who have the problem</t>
        </is>
      </c>
      <c r="B6" s="22">
        <f>IF($B$5=0,"",COUNTIF('Interviews'!$C$4:$C$28,"Yes")/$B$5)</f>
        <v/>
      </c>
    </row>
    <row r="7">
      <c r="A7" s="20" t="inlineStr">
        <is>
          <t>Share where it happened this month or this week</t>
        </is>
      </c>
      <c r="B7" s="22">
        <f>IF($B$5=0,"",(COUNTIF('Interviews'!$D$4:$D$28,"This week")+COUNTIF('Interviews'!$D$4:$D$28,"This month"))/$B$5)</f>
        <v/>
      </c>
    </row>
    <row r="8">
      <c r="A8" s="20" t="inlineStr">
        <is>
          <t>Share already paying money or real time for a fix</t>
        </is>
      </c>
      <c r="B8" s="22">
        <f>IF($B$5=0,"",COUNTIF('Interviews'!$F$4:$F$28,"Yes")/$B$5)</f>
        <v/>
      </c>
    </row>
    <row r="9">
      <c r="A9" s="20" t="inlineStr">
        <is>
          <t>Average pain (1-5)</t>
        </is>
      </c>
      <c r="B9" s="23">
        <f>IF(COUNT('Interviews'!$H$4:$H$28)=0,"",AVERAGE('Interviews'!$H$4:$H$28))</f>
        <v/>
      </c>
    </row>
    <row r="10">
      <c r="A10" s="20" t="inlineStr">
        <is>
          <t>People who asked to buy</t>
        </is>
      </c>
      <c r="B10" s="21">
        <f>COUNTIF('Interviews'!$I$4:$I$28,"Yes")</f>
        <v/>
      </c>
    </row>
    <row r="11">
      <c r="A11" s="20" t="inlineStr">
        <is>
          <t>Phrases heard 3+ times</t>
        </is>
      </c>
      <c r="B11" s="21">
        <f>COUNTIF('Phrases'!$M$4:$M$33,"&gt;=3")</f>
        <v/>
      </c>
    </row>
    <row r="12">
      <c r="A12" s="20" t="inlineStr">
        <is>
          <t>Top phrase</t>
        </is>
      </c>
      <c r="B12" s="24">
        <f>IF(COUNT('Phrases'!$M$4:$M$33)=0,"",INDEX('Phrases'!$A$4:$A$33,MATCH(MAX('Phrases'!$M$4:$M$33),'Phrases'!$M$4:$M$33,0)))</f>
        <v/>
      </c>
    </row>
    <row r="14">
      <c r="A14" s="1" t="inlineStr">
        <is>
          <t>SUGGESTED CALL</t>
        </is>
      </c>
    </row>
    <row r="15">
      <c r="A15" s="25" t="inlineStr">
        <is>
          <t>Suggested verdict</t>
        </is>
      </c>
      <c r="B15" s="26">
        <f>IF($B$5&lt;5,"Log at least 5 interviews first",IF(OR($B$6&lt;0.3,AND($B$8=0,$B$7&lt;0.5)),"Kill: go back to the Idea Scorecard",IF(AND($B$11&gt;=1,$B$8&gt;=0.4,$B$10&gt;=2),"Double down: write your One-Page Offer this week","Pause: change one thing and run 5 more")))</f>
        <v/>
      </c>
    </row>
    <row r="16">
      <c r="A16" s="20" t="inlineStr">
        <is>
          <t>Why the sheet says that</t>
        </is>
      </c>
      <c r="B16" s="24">
        <f>IF($B$5&lt;5,"Not enough conversations yet.",IF($B$15="Kill: go back to the Idea Scorecard","Few people have it now, and almost nobody pays for a fix today.",IF(LEFT($B$15,6)="Double","The same words repeat, people already spend on bad fixes, and some asked to buy.","Real signs, but not all three: repeated words, people paying today, people asking to buy.")))</f>
        <v/>
      </c>
    </row>
    <row r="18">
      <c r="A18" s="1" t="inlineStr">
        <is>
          <t>YOUR CALL</t>
        </is>
      </c>
    </row>
    <row r="19">
      <c r="A19" s="20" t="inlineStr">
        <is>
          <t>Your verdict</t>
        </is>
      </c>
      <c r="B19" s="16" t="n"/>
    </row>
    <row r="20" ht="44" customHeight="1">
      <c r="A20" s="20" t="inlineStr">
        <is>
          <t>Why (point to the evidence)</t>
        </is>
      </c>
      <c r="B20" s="16" t="n"/>
    </row>
    <row r="21" ht="32" customHeight="1">
      <c r="A21" s="20" t="inlineStr">
        <is>
          <t>If pause: the one thing you will change (customer, problem or angle)</t>
        </is>
      </c>
      <c r="B21" s="16" t="n"/>
    </row>
    <row r="22" ht="44" customHeight="1">
      <c r="A22" s="20" t="inlineStr">
        <is>
          <t>Your top 3 phrases to use in your offer</t>
        </is>
      </c>
      <c r="B22" s="16" t="n"/>
    </row>
  </sheetData>
  <dataValidations count="1">
    <dataValidation sqref="B19" showDropDown="0" showInputMessage="0" showErrorMessage="0" allowBlank="1" type="list">
      <formula1>"Kill,Pause,Double down"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Interview Synthesis</dc:title>
  <dcterms:created xmlns:dcterms="http://purl.org/dc/terms/" xmlns:xsi="http://www.w3.org/2001/XMLSchema-instance" xsi:type="dcterms:W3CDTF">2026-10-16T10:26:16Z</dcterms:created>
  <dcterms:modified xmlns:dcterms="http://purl.org/dc/terms/" xmlns:xsi="http://www.w3.org/2001/XMLSchema-instance" xsi:type="dcterms:W3CDTF">2026-10-16T10:26:16Z</dcterms:modified>
</cp:coreProperties>
</file>