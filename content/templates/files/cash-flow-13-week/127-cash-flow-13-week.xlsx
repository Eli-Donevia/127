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Cash flo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"/>
    <numFmt numFmtId="165" formatCode="mmm d, yyyy"/>
    <numFmt numFmtId="166" formatCode="ddd, mmm d"/>
  </numFmts>
  <fonts count="12">
    <font>
      <name val="Calibri"/>
      <family val="2"/>
      <color theme="1"/>
      <sz val="11"/>
      <scheme val="minor"/>
    </font>
    <font>
      <name val="Arial"/>
      <b val="1"/>
      <color rgb="007B7B86"/>
      <sz val="9"/>
    </font>
    <font>
      <name val="Arial"/>
      <b val="1"/>
      <color rgb="00060607"/>
      <sz val="22"/>
    </font>
    <font>
      <name val="Arial"/>
      <color rgb="005A5A66"/>
      <sz val="11"/>
    </font>
    <font>
      <name val="Arial"/>
      <color rgb="001B1B20"/>
      <sz val="11"/>
    </font>
    <font>
      <name val="Arial"/>
      <color rgb="001B1B20"/>
      <sz val="10"/>
    </font>
    <font>
      <name val="Arial"/>
      <color rgb="005A5A66"/>
      <sz val="10"/>
    </font>
    <font>
      <name val="Arial"/>
      <i val="1"/>
      <color rgb="005A5A66"/>
      <sz val="10"/>
    </font>
    <font>
      <name val="Arial"/>
      <b val="1"/>
      <color rgb="001B1B20"/>
      <sz val="10"/>
    </font>
    <font>
      <name val="Arial"/>
      <color rgb="007B7B86"/>
      <sz val="8"/>
    </font>
    <font>
      <name val="Arial"/>
      <b val="1"/>
      <color rgb="00060607"/>
      <sz val="14"/>
    </font>
    <font>
      <name val="Arial"/>
      <color rgb="007B7B86"/>
      <sz val="9"/>
    </font>
  </fonts>
  <fills count="5">
    <fill>
      <patternFill/>
    </fill>
    <fill>
      <patternFill patternType="gray125"/>
    </fill>
    <fill>
      <patternFill patternType="solid">
        <fgColor rgb="00FFFFFF"/>
        <bgColor rgb="00FFFFFF"/>
      </patternFill>
    </fill>
    <fill>
      <patternFill patternType="solid">
        <fgColor rgb="00F2F2F5"/>
        <bgColor rgb="00F2F2F5"/>
      </patternFill>
    </fill>
    <fill>
      <patternFill patternType="solid">
        <fgColor rgb="00ECEEFB"/>
        <bgColor rgb="00ECEEFB"/>
      </patternFill>
    </fill>
  </fills>
  <borders count="3">
    <border>
      <left/>
      <right/>
      <top/>
      <bottom/>
      <diagonal/>
    </border>
    <border>
      <left style="thin">
        <color rgb="00D9D9DE"/>
      </left>
      <right style="thin">
        <color rgb="00D9D9DE"/>
      </right>
      <top style="thin">
        <color rgb="00D9D9DE"/>
      </top>
      <bottom style="thin">
        <color rgb="00D9D9DE"/>
      </bottom>
    </border>
    <border>
      <bottom style="thin">
        <color rgb="00D9D9DE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2" borderId="1" pivotButton="0" quotePrefix="0" xfId="0"/>
    <xf numFmtId="0" fontId="5" fillId="3" borderId="1" pivotButton="0" quotePrefix="0" xfId="0"/>
    <xf numFmtId="0" fontId="5" fillId="4" borderId="1" pivotButton="0" quotePrefix="0" xfId="0"/>
    <xf numFmtId="0" fontId="6" fillId="0" borderId="0" applyAlignment="1" pivotButton="0" quotePrefix="0" xfId="0">
      <alignment wrapText="1"/>
    </xf>
    <xf numFmtId="0" fontId="7" fillId="0" borderId="0" applyAlignment="1" pivotButton="0" quotePrefix="0" xfId="0">
      <alignment wrapText="1"/>
    </xf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5" fillId="0" borderId="2" applyAlignment="1" pivotButton="0" quotePrefix="0" xfId="0">
      <alignment vertical="top" wrapText="1"/>
    </xf>
    <xf numFmtId="164" fontId="5" fillId="2" borderId="1" applyAlignment="1" pivotButton="0" quotePrefix="0" xfId="0">
      <alignment vertical="top" wrapText="1"/>
    </xf>
    <xf numFmtId="165" fontId="5" fillId="2" borderId="1" applyAlignment="1" pivotButton="0" quotePrefix="0" xfId="0">
      <alignment vertical="top" wrapText="1"/>
    </xf>
    <xf numFmtId="166" fontId="5" fillId="3" borderId="1" applyAlignment="1" pivotButton="0" quotePrefix="0" xfId="0">
      <alignment vertical="top" wrapText="1"/>
    </xf>
    <xf numFmtId="164" fontId="5" fillId="3" borderId="1" applyAlignment="1" pivotButton="0" quotePrefix="0" xfId="0">
      <alignment vertical="top" wrapText="1"/>
    </xf>
    <xf numFmtId="0" fontId="8" fillId="0" borderId="2" applyAlignment="1" pivotButton="0" quotePrefix="0" xfId="0">
      <alignment vertical="top" wrapText="1"/>
    </xf>
    <xf numFmtId="164" fontId="8" fillId="4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3" fontId="5" fillId="3" borderId="1" applyAlignment="1" pivotButton="0" quotePrefix="0" xfId="0">
      <alignment vertical="top" wrapText="1"/>
    </xf>
    <xf numFmtId="0" fontId="8" fillId="4" borderId="1" applyAlignment="1" pivotButton="0" quotePrefix="0" xfId="0">
      <alignment vertical="top" wrapText="1"/>
    </xf>
  </cellXfs>
  <cellStyles count="1">
    <cellStyle name="Normal" xfId="0" builtinId="0" hidden="0"/>
  </cellStyles>
  <dxfs count="1">
    <dxf>
      <fill>
        <patternFill patternType="solid">
          <fgColor rgb="00FBE3DE"/>
          <bgColor rgb="00FBE3D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127</author>
  </authors>
  <commentList>
    <comment ref="A7" authorId="0" shapeId="0">
      <text>
        <t>Your cushion. Many owners pick one month of costs.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9"/>
  <sheetViews>
    <sheetView showGridLines="0" tabSelected="1" workbookViewId="0">
      <selection activeCell="A1" sqref="A1"/>
    </sheetView>
  </sheetViews>
  <sheetFormatPr baseColWidth="8" defaultRowHeight="15"/>
  <cols>
    <col width="3" customWidth="1" min="1" max="1"/>
    <col width="96" customWidth="1" min="2" max="2"/>
  </cols>
  <sheetData>
    <row r="2">
      <c r="B2" s="1" t="inlineStr">
        <is>
          <t>127  ·  BUILD TRACK  ·  BUILDER</t>
        </is>
      </c>
    </row>
    <row r="3" ht="34" customHeight="1">
      <c r="B3" s="2" t="inlineStr">
        <is>
          <t>13-Week Cash Flow</t>
        </is>
      </c>
    </row>
    <row r="4" ht="30" customHeight="1">
      <c r="B4" s="3" t="inlineStr">
        <is>
          <t>See the next 13 weeks of cash, week by week, so you spot the week money runs short before it happens.</t>
        </is>
      </c>
    </row>
    <row r="6">
      <c r="B6" s="1" t="inlineStr">
        <is>
          <t>HOW TO USE IT</t>
        </is>
      </c>
    </row>
    <row r="7" ht="32" customHeight="1">
      <c r="B7" s="4" t="inlineStr">
        <is>
          <t>1.  Set up: type the cash in your bank today, the Monday your week 1 starts, and the least cash you want on hand.</t>
        </is>
      </c>
    </row>
    <row r="8" ht="32" customHeight="1">
      <c r="B8" s="4" t="inlineStr">
        <is>
          <t>2.  Cash in: for each week, type only money you expect to land that week. Invoices count the week they get paid, not the week you send them.</t>
        </is>
      </c>
    </row>
    <row r="9" ht="16" customHeight="1">
      <c r="B9" s="4" t="inlineStr">
        <is>
          <t>3.  Cash out: fill each line you pay. Leave a line blank if it doesn't apply.</t>
        </is>
      </c>
    </row>
    <row r="10" ht="16" customHeight="1">
      <c r="B10" s="4" t="inlineStr">
        <is>
          <t>4.  Read Cash position. Any week under your cushion turns red.</t>
        </is>
      </c>
    </row>
    <row r="11" ht="32" customHeight="1">
      <c r="B11" s="4" t="inlineStr">
        <is>
          <t>5.  Read What it says. Fix the lowest week first: move a cost, ask for a deposit, or chase a payment.</t>
        </is>
      </c>
    </row>
    <row r="12" ht="32" customHeight="1">
      <c r="B12" s="4" t="inlineStr">
        <is>
          <t>6.  Every Monday, type what really happened in last week's column and add a new week at the end.</t>
        </is>
      </c>
    </row>
    <row r="14">
      <c r="B14" s="1" t="inlineStr">
        <is>
          <t>CELL COLORS</t>
        </is>
      </c>
    </row>
    <row r="15">
      <c r="B15" s="5" t="inlineStr">
        <is>
          <t>White cells: you type here.</t>
        </is>
      </c>
    </row>
    <row r="16">
      <c r="B16" s="6" t="inlineStr">
        <is>
          <t>Grey cells: calculated for you. Leave them alone.</t>
        </is>
      </c>
    </row>
    <row r="17">
      <c r="B17" s="7" t="inlineStr">
        <is>
          <t>Lilac cells: the answer you came for.</t>
        </is>
      </c>
    </row>
    <row r="19">
      <c r="B19" s="1" t="inlineStr">
        <is>
          <t>OPEN IT ANYWHERE</t>
        </is>
      </c>
    </row>
    <row r="20" ht="30" customHeight="1">
      <c r="B20" s="8" t="inlineStr">
        <is>
          <t>Google Sheets: go to sheets.new, then File &gt; Import &gt; Upload this file &gt; Replace spreadsheet. Formulas and dropdowns come with it.</t>
        </is>
      </c>
    </row>
    <row r="21" ht="15" customHeight="1">
      <c r="B21" s="8" t="inlineStr">
        <is>
          <t>Excel: double-click the file. Numbers on a Mac: open it with Numbers.</t>
        </is>
      </c>
    </row>
    <row r="22" ht="15" customHeight="1">
      <c r="B22" s="8" t="inlineStr">
        <is>
          <t>Phone: upload it to Google Drive, then open it in the Google Sheets app.</t>
        </is>
      </c>
    </row>
    <row r="24" ht="15" customHeight="1">
      <c r="B24" s="9" t="inlineStr">
        <is>
          <t>Cash is not profit. This sheet only tracks money in and out of the bank.</t>
        </is>
      </c>
    </row>
    <row r="26" ht="15" customHeight="1">
      <c r="B26" s="9" t="inlineStr">
        <is>
          <t>Not financial or tax advice. Check your local rules or ask a professional about taxes.</t>
        </is>
      </c>
    </row>
    <row r="28">
      <c r="B28" s="10" t="inlineStr">
        <is>
          <t>Make today day one.  ·  127group.io</t>
        </is>
      </c>
    </row>
    <row r="29">
      <c r="B29" s="11" t="inlineStr">
        <is>
          <t>Template drafted from Eli Christiansen's frameworks. © 127 Group LLC. For your own business use.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N38"/>
  <sheetViews>
    <sheetView showGridLines="0" tabSelected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 ht="26" customHeight="1">
      <c r="A1" s="12" t="inlineStr">
        <is>
          <t>13-Week Cash Flow</t>
        </is>
      </c>
    </row>
    <row r="2">
      <c r="A2" s="13" t="inlineStr">
        <is>
          <t>White cells: type what you expect. Each week only counts money that actually lands or leaves.</t>
        </is>
      </c>
    </row>
    <row r="4">
      <c r="A4" s="1" t="inlineStr">
        <is>
          <t>SET UP</t>
        </is>
      </c>
    </row>
    <row r="5">
      <c r="A5" s="14" t="inlineStr">
        <is>
          <t>Cash in the bank today ($)</t>
        </is>
      </c>
      <c r="B5" s="15" t="n"/>
    </row>
    <row r="6">
      <c r="A6" s="14" t="inlineStr">
        <is>
          <t>Week 1 starts on (a Monday)</t>
        </is>
      </c>
      <c r="B6" s="16" t="n"/>
    </row>
    <row r="7">
      <c r="A7" s="14" t="inlineStr">
        <is>
          <t>The least cash you want on hand ($)</t>
        </is>
      </c>
      <c r="B7" s="15" t="n"/>
    </row>
    <row r="9">
      <c r="A9" s="1" t="inlineStr">
        <is>
          <t>WEEK OF</t>
        </is>
      </c>
      <c r="B9" s="1" t="inlineStr">
        <is>
          <t>Week 1</t>
        </is>
      </c>
      <c r="C9" s="1" t="inlineStr">
        <is>
          <t>Week 2</t>
        </is>
      </c>
      <c r="D9" s="1" t="inlineStr">
        <is>
          <t>Week 3</t>
        </is>
      </c>
      <c r="E9" s="1" t="inlineStr">
        <is>
          <t>Week 4</t>
        </is>
      </c>
      <c r="F9" s="1" t="inlineStr">
        <is>
          <t>Week 5</t>
        </is>
      </c>
      <c r="G9" s="1" t="inlineStr">
        <is>
          <t>Week 6</t>
        </is>
      </c>
      <c r="H9" s="1" t="inlineStr">
        <is>
          <t>Week 7</t>
        </is>
      </c>
      <c r="I9" s="1" t="inlineStr">
        <is>
          <t>Week 8</t>
        </is>
      </c>
      <c r="J9" s="1" t="inlineStr">
        <is>
          <t>Week 9</t>
        </is>
      </c>
      <c r="K9" s="1" t="inlineStr">
        <is>
          <t>Week 10</t>
        </is>
      </c>
      <c r="L9" s="1" t="inlineStr">
        <is>
          <t>Week 11</t>
        </is>
      </c>
      <c r="M9" s="1" t="inlineStr">
        <is>
          <t>Week 12</t>
        </is>
      </c>
      <c r="N9" s="1" t="inlineStr">
        <is>
          <t>Week 13</t>
        </is>
      </c>
    </row>
    <row r="10">
      <c r="A10" s="14" t="inlineStr">
        <is>
          <t>Week starts</t>
        </is>
      </c>
      <c r="B10" s="17">
        <f>IF($B$6="","",$B$6+0)</f>
        <v/>
      </c>
      <c r="C10" s="17">
        <f>IF($B$6="","",$B$6+7)</f>
        <v/>
      </c>
      <c r="D10" s="17">
        <f>IF($B$6="","",$B$6+14)</f>
        <v/>
      </c>
      <c r="E10" s="17">
        <f>IF($B$6="","",$B$6+21)</f>
        <v/>
      </c>
      <c r="F10" s="17">
        <f>IF($B$6="","",$B$6+28)</f>
        <v/>
      </c>
      <c r="G10" s="17">
        <f>IF($B$6="","",$B$6+35)</f>
        <v/>
      </c>
      <c r="H10" s="17">
        <f>IF($B$6="","",$B$6+42)</f>
        <v/>
      </c>
      <c r="I10" s="17">
        <f>IF($B$6="","",$B$6+49)</f>
        <v/>
      </c>
      <c r="J10" s="17">
        <f>IF($B$6="","",$B$6+56)</f>
        <v/>
      </c>
      <c r="K10" s="17">
        <f>IF($B$6="","",$B$6+63)</f>
        <v/>
      </c>
      <c r="L10" s="17">
        <f>IF($B$6="","",$B$6+70)</f>
        <v/>
      </c>
      <c r="M10" s="17">
        <f>IF($B$6="","",$B$6+77)</f>
        <v/>
      </c>
      <c r="N10" s="17">
        <f>IF($B$6="","",$B$6+84)</f>
        <v/>
      </c>
    </row>
    <row r="12">
      <c r="A12" s="1" t="inlineStr">
        <is>
          <t>CASH IN</t>
        </is>
      </c>
      <c r="B12" s="1" t="inlineStr">
        <is>
          <t>Week 1</t>
        </is>
      </c>
      <c r="C12" s="1" t="inlineStr">
        <is>
          <t>Week 2</t>
        </is>
      </c>
      <c r="D12" s="1" t="inlineStr">
        <is>
          <t>Week 3</t>
        </is>
      </c>
      <c r="E12" s="1" t="inlineStr">
        <is>
          <t>Week 4</t>
        </is>
      </c>
      <c r="F12" s="1" t="inlineStr">
        <is>
          <t>Week 5</t>
        </is>
      </c>
      <c r="G12" s="1" t="inlineStr">
        <is>
          <t>Week 6</t>
        </is>
      </c>
      <c r="H12" s="1" t="inlineStr">
        <is>
          <t>Week 7</t>
        </is>
      </c>
      <c r="I12" s="1" t="inlineStr">
        <is>
          <t>Week 8</t>
        </is>
      </c>
      <c r="J12" s="1" t="inlineStr">
        <is>
          <t>Week 9</t>
        </is>
      </c>
      <c r="K12" s="1" t="inlineStr">
        <is>
          <t>Week 10</t>
        </is>
      </c>
      <c r="L12" s="1" t="inlineStr">
        <is>
          <t>Week 11</t>
        </is>
      </c>
      <c r="M12" s="1" t="inlineStr">
        <is>
          <t>Week 12</t>
        </is>
      </c>
      <c r="N12" s="1" t="inlineStr">
        <is>
          <t>Week 13</t>
        </is>
      </c>
    </row>
    <row r="13">
      <c r="A13" s="14" t="inlineStr">
        <is>
          <t>Customer payments you expect to land</t>
        </is>
      </c>
      <c r="B13" s="15" t="n"/>
      <c r="C13" s="15" t="n"/>
      <c r="D13" s="15" t="n"/>
      <c r="E13" s="15" t="n"/>
      <c r="F13" s="15" t="n"/>
      <c r="G13" s="15" t="n"/>
      <c r="H13" s="15" t="n"/>
      <c r="I13" s="15" t="n"/>
      <c r="J13" s="15" t="n"/>
      <c r="K13" s="15" t="n"/>
      <c r="L13" s="15" t="n"/>
      <c r="M13" s="15" t="n"/>
      <c r="N13" s="15" t="n"/>
    </row>
    <row r="14">
      <c r="A14" s="14" t="inlineStr">
        <is>
          <t>Other cash in (deposits, refunds, a loan)</t>
        </is>
      </c>
      <c r="B14" s="15" t="n"/>
      <c r="C14" s="15" t="n"/>
      <c r="D14" s="15" t="n"/>
      <c r="E14" s="15" t="n"/>
      <c r="F14" s="15" t="n"/>
      <c r="G14" s="15" t="n"/>
      <c r="H14" s="15" t="n"/>
      <c r="I14" s="15" t="n"/>
      <c r="J14" s="15" t="n"/>
      <c r="K14" s="15" t="n"/>
      <c r="L14" s="15" t="n"/>
      <c r="M14" s="15" t="n"/>
      <c r="N14" s="15" t="n"/>
    </row>
    <row r="16">
      <c r="A16" s="1" t="inlineStr">
        <is>
          <t>CASH OUT</t>
        </is>
      </c>
      <c r="B16" s="1" t="inlineStr">
        <is>
          <t>Week 1</t>
        </is>
      </c>
      <c r="C16" s="1" t="inlineStr">
        <is>
          <t>Week 2</t>
        </is>
      </c>
      <c r="D16" s="1" t="inlineStr">
        <is>
          <t>Week 3</t>
        </is>
      </c>
      <c r="E16" s="1" t="inlineStr">
        <is>
          <t>Week 4</t>
        </is>
      </c>
      <c r="F16" s="1" t="inlineStr">
        <is>
          <t>Week 5</t>
        </is>
      </c>
      <c r="G16" s="1" t="inlineStr">
        <is>
          <t>Week 6</t>
        </is>
      </c>
      <c r="H16" s="1" t="inlineStr">
        <is>
          <t>Week 7</t>
        </is>
      </c>
      <c r="I16" s="1" t="inlineStr">
        <is>
          <t>Week 8</t>
        </is>
      </c>
      <c r="J16" s="1" t="inlineStr">
        <is>
          <t>Week 9</t>
        </is>
      </c>
      <c r="K16" s="1" t="inlineStr">
        <is>
          <t>Week 10</t>
        </is>
      </c>
      <c r="L16" s="1" t="inlineStr">
        <is>
          <t>Week 11</t>
        </is>
      </c>
      <c r="M16" s="1" t="inlineStr">
        <is>
          <t>Week 12</t>
        </is>
      </c>
      <c r="N16" s="1" t="inlineStr">
        <is>
          <t>Week 13</t>
        </is>
      </c>
    </row>
    <row r="17">
      <c r="A17" s="14" t="inlineStr">
        <is>
          <t>Supplies, stock or materials</t>
        </is>
      </c>
      <c r="B17" s="15" t="n"/>
      <c r="C17" s="15" t="n"/>
      <c r="D17" s="15" t="n"/>
      <c r="E17" s="15" t="n"/>
      <c r="F17" s="15" t="n"/>
      <c r="G17" s="15" t="n"/>
      <c r="H17" s="15" t="n"/>
      <c r="I17" s="15" t="n"/>
      <c r="J17" s="15" t="n"/>
      <c r="K17" s="15" t="n"/>
      <c r="L17" s="15" t="n"/>
      <c r="M17" s="15" t="n"/>
      <c r="N17" s="15" t="n"/>
    </row>
    <row r="18">
      <c r="A18" s="14" t="inlineStr">
        <is>
          <t>Tools and subscriptions</t>
        </is>
      </c>
      <c r="B18" s="15" t="n"/>
      <c r="C18" s="15" t="n"/>
      <c r="D18" s="15" t="n"/>
      <c r="E18" s="15" t="n"/>
      <c r="F18" s="15" t="n"/>
      <c r="G18" s="15" t="n"/>
      <c r="H18" s="15" t="n"/>
      <c r="I18" s="15" t="n"/>
      <c r="J18" s="15" t="n"/>
      <c r="K18" s="15" t="n"/>
      <c r="L18" s="15" t="n"/>
      <c r="M18" s="15" t="n"/>
      <c r="N18" s="15" t="n"/>
    </row>
    <row r="19">
      <c r="A19" s="14" t="inlineStr">
        <is>
          <t>Ads and marketing</t>
        </is>
      </c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  <c r="M19" s="15" t="n"/>
      <c r="N19" s="15" t="n"/>
    </row>
    <row r="20">
      <c r="A20" s="14" t="inlineStr">
        <is>
          <t>Contractors or staff</t>
        </is>
      </c>
      <c r="B20" s="15" t="n"/>
      <c r="C20" s="15" t="n"/>
      <c r="D20" s="15" t="n"/>
      <c r="E20" s="15" t="n"/>
      <c r="F20" s="15" t="n"/>
      <c r="G20" s="15" t="n"/>
      <c r="H20" s="15" t="n"/>
      <c r="I20" s="15" t="n"/>
      <c r="J20" s="15" t="n"/>
      <c r="K20" s="15" t="n"/>
      <c r="L20" s="15" t="n"/>
      <c r="M20" s="15" t="n"/>
      <c r="N20" s="15" t="n"/>
    </row>
    <row r="21">
      <c r="A21" s="14" t="inlineStr">
        <is>
          <t>Pay to yourself</t>
        </is>
      </c>
      <c r="B21" s="15" t="n"/>
      <c r="C21" s="15" t="n"/>
      <c r="D21" s="15" t="n"/>
      <c r="E21" s="15" t="n"/>
      <c r="F21" s="15" t="n"/>
      <c r="G21" s="15" t="n"/>
      <c r="H21" s="15" t="n"/>
      <c r="I21" s="15" t="n"/>
      <c r="J21" s="15" t="n"/>
      <c r="K21" s="15" t="n"/>
      <c r="L21" s="15" t="n"/>
      <c r="M21" s="15" t="n"/>
      <c r="N21" s="15" t="n"/>
    </row>
    <row r="22">
      <c r="A22" s="14" t="inlineStr">
        <is>
          <t>Set aside for taxes</t>
        </is>
      </c>
      <c r="B22" s="15" t="n"/>
      <c r="C22" s="15" t="n"/>
      <c r="D22" s="15" t="n"/>
      <c r="E22" s="15" t="n"/>
      <c r="F22" s="15" t="n"/>
      <c r="G22" s="15" t="n"/>
      <c r="H22" s="15" t="n"/>
      <c r="I22" s="15" t="n"/>
      <c r="J22" s="15" t="n"/>
      <c r="K22" s="15" t="n"/>
      <c r="L22" s="15" t="n"/>
      <c r="M22" s="15" t="n"/>
      <c r="N22" s="15" t="n"/>
    </row>
    <row r="23">
      <c r="A23" s="14" t="inlineStr">
        <is>
          <t>Rent, debt payments, everything else</t>
        </is>
      </c>
      <c r="B23" s="15" t="n"/>
      <c r="C23" s="15" t="n"/>
      <c r="D23" s="15" t="n"/>
      <c r="E23" s="15" t="n"/>
      <c r="F23" s="15" t="n"/>
      <c r="G23" s="15" t="n"/>
      <c r="H23" s="15" t="n"/>
      <c r="I23" s="15" t="n"/>
      <c r="J23" s="15" t="n"/>
      <c r="K23" s="15" t="n"/>
      <c r="L23" s="15" t="n"/>
      <c r="M23" s="15" t="n"/>
      <c r="N23" s="15" t="n"/>
    </row>
    <row r="25">
      <c r="A25" s="1" t="inlineStr">
        <is>
          <t>CASH POSITION</t>
        </is>
      </c>
      <c r="B25" s="1" t="inlineStr">
        <is>
          <t>Week 1</t>
        </is>
      </c>
      <c r="C25" s="1" t="inlineStr">
        <is>
          <t>Week 2</t>
        </is>
      </c>
      <c r="D25" s="1" t="inlineStr">
        <is>
          <t>Week 3</t>
        </is>
      </c>
      <c r="E25" s="1" t="inlineStr">
        <is>
          <t>Week 4</t>
        </is>
      </c>
      <c r="F25" s="1" t="inlineStr">
        <is>
          <t>Week 5</t>
        </is>
      </c>
      <c r="G25" s="1" t="inlineStr">
        <is>
          <t>Week 6</t>
        </is>
      </c>
      <c r="H25" s="1" t="inlineStr">
        <is>
          <t>Week 7</t>
        </is>
      </c>
      <c r="I25" s="1" t="inlineStr">
        <is>
          <t>Week 8</t>
        </is>
      </c>
      <c r="J25" s="1" t="inlineStr">
        <is>
          <t>Week 9</t>
        </is>
      </c>
      <c r="K25" s="1" t="inlineStr">
        <is>
          <t>Week 10</t>
        </is>
      </c>
      <c r="L25" s="1" t="inlineStr">
        <is>
          <t>Week 11</t>
        </is>
      </c>
      <c r="M25" s="1" t="inlineStr">
        <is>
          <t>Week 12</t>
        </is>
      </c>
      <c r="N25" s="1" t="inlineStr">
        <is>
          <t>Week 13</t>
        </is>
      </c>
    </row>
    <row r="26">
      <c r="A26" s="14" t="inlineStr">
        <is>
          <t>Total cash in</t>
        </is>
      </c>
      <c r="B26" s="18">
        <f>N(B13)+N(B14)</f>
        <v/>
      </c>
      <c r="C26" s="18">
        <f>N(C13)+N(C14)</f>
        <v/>
      </c>
      <c r="D26" s="18">
        <f>N(D13)+N(D14)</f>
        <v/>
      </c>
      <c r="E26" s="18">
        <f>N(E13)+N(E14)</f>
        <v/>
      </c>
      <c r="F26" s="18">
        <f>N(F13)+N(F14)</f>
        <v/>
      </c>
      <c r="G26" s="18">
        <f>N(G13)+N(G14)</f>
        <v/>
      </c>
      <c r="H26" s="18">
        <f>N(H13)+N(H14)</f>
        <v/>
      </c>
      <c r="I26" s="18">
        <f>N(I13)+N(I14)</f>
        <v/>
      </c>
      <c r="J26" s="18">
        <f>N(J13)+N(J14)</f>
        <v/>
      </c>
      <c r="K26" s="18">
        <f>N(K13)+N(K14)</f>
        <v/>
      </c>
      <c r="L26" s="18">
        <f>N(L13)+N(L14)</f>
        <v/>
      </c>
      <c r="M26" s="18">
        <f>N(M13)+N(M14)</f>
        <v/>
      </c>
      <c r="N26" s="18">
        <f>N(N13)+N(N14)</f>
        <v/>
      </c>
    </row>
    <row r="27">
      <c r="A27" s="14" t="inlineStr">
        <is>
          <t>Total cash out</t>
        </is>
      </c>
      <c r="B27" s="18">
        <f>N(B17)+N(B18)+N(B19)+N(B20)+N(B21)+N(B22)+N(B23)</f>
        <v/>
      </c>
      <c r="C27" s="18">
        <f>N(C17)+N(C18)+N(C19)+N(C20)+N(C21)+N(C22)+N(C23)</f>
        <v/>
      </c>
      <c r="D27" s="18">
        <f>N(D17)+N(D18)+N(D19)+N(D20)+N(D21)+N(D22)+N(D23)</f>
        <v/>
      </c>
      <c r="E27" s="18">
        <f>N(E17)+N(E18)+N(E19)+N(E20)+N(E21)+N(E22)+N(E23)</f>
        <v/>
      </c>
      <c r="F27" s="18">
        <f>N(F17)+N(F18)+N(F19)+N(F20)+N(F21)+N(F22)+N(F23)</f>
        <v/>
      </c>
      <c r="G27" s="18">
        <f>N(G17)+N(G18)+N(G19)+N(G20)+N(G21)+N(G22)+N(G23)</f>
        <v/>
      </c>
      <c r="H27" s="18">
        <f>N(H17)+N(H18)+N(H19)+N(H20)+N(H21)+N(H22)+N(H23)</f>
        <v/>
      </c>
      <c r="I27" s="18">
        <f>N(I17)+N(I18)+N(I19)+N(I20)+N(I21)+N(I22)+N(I23)</f>
        <v/>
      </c>
      <c r="J27" s="18">
        <f>N(J17)+N(J18)+N(J19)+N(J20)+N(J21)+N(J22)+N(J23)</f>
        <v/>
      </c>
      <c r="K27" s="18">
        <f>N(K17)+N(K18)+N(K19)+N(K20)+N(K21)+N(K22)+N(K23)</f>
        <v/>
      </c>
      <c r="L27" s="18">
        <f>N(L17)+N(L18)+N(L19)+N(L20)+N(L21)+N(L22)+N(L23)</f>
        <v/>
      </c>
      <c r="M27" s="18">
        <f>N(M17)+N(M18)+N(M19)+N(M20)+N(M21)+N(M22)+N(M23)</f>
        <v/>
      </c>
      <c r="N27" s="18">
        <f>N(N17)+N(N18)+N(N19)+N(N20)+N(N21)+N(N22)+N(N23)</f>
        <v/>
      </c>
    </row>
    <row r="28">
      <c r="A28" s="14" t="inlineStr">
        <is>
          <t>Net for the week</t>
        </is>
      </c>
      <c r="B28" s="18">
        <f>B26-B27</f>
        <v/>
      </c>
      <c r="C28" s="18">
        <f>C26-C27</f>
        <v/>
      </c>
      <c r="D28" s="18">
        <f>D26-D27</f>
        <v/>
      </c>
      <c r="E28" s="18">
        <f>E26-E27</f>
        <v/>
      </c>
      <c r="F28" s="18">
        <f>F26-F27</f>
        <v/>
      </c>
      <c r="G28" s="18">
        <f>G26-G27</f>
        <v/>
      </c>
      <c r="H28" s="18">
        <f>H26-H27</f>
        <v/>
      </c>
      <c r="I28" s="18">
        <f>I26-I27</f>
        <v/>
      </c>
      <c r="J28" s="18">
        <f>J26-J27</f>
        <v/>
      </c>
      <c r="K28" s="18">
        <f>K26-K27</f>
        <v/>
      </c>
      <c r="L28" s="18">
        <f>L26-L27</f>
        <v/>
      </c>
      <c r="M28" s="18">
        <f>M26-M27</f>
        <v/>
      </c>
      <c r="N28" s="18">
        <f>N26-N27</f>
        <v/>
      </c>
    </row>
    <row r="29">
      <c r="A29" s="14" t="inlineStr">
        <is>
          <t>Starting cash</t>
        </is>
      </c>
      <c r="B29" s="18">
        <f>N($B$5)</f>
        <v/>
      </c>
      <c r="C29" s="18">
        <f>$B$30</f>
        <v/>
      </c>
      <c r="D29" s="18">
        <f>$C$30</f>
        <v/>
      </c>
      <c r="E29" s="18">
        <f>$D$30</f>
        <v/>
      </c>
      <c r="F29" s="18">
        <f>$E$30</f>
        <v/>
      </c>
      <c r="G29" s="18">
        <f>$F$30</f>
        <v/>
      </c>
      <c r="H29" s="18">
        <f>$G$30</f>
        <v/>
      </c>
      <c r="I29" s="18">
        <f>$H$30</f>
        <v/>
      </c>
      <c r="J29" s="18">
        <f>$I$30</f>
        <v/>
      </c>
      <c r="K29" s="18">
        <f>$J$30</f>
        <v/>
      </c>
      <c r="L29" s="18">
        <f>$K$30</f>
        <v/>
      </c>
      <c r="M29" s="18">
        <f>$L$30</f>
        <v/>
      </c>
      <c r="N29" s="18">
        <f>$M$30</f>
        <v/>
      </c>
    </row>
    <row r="30">
      <c r="A30" s="19" t="inlineStr">
        <is>
          <t>Ending cash</t>
        </is>
      </c>
      <c r="B30" s="20">
        <f>B29+B28</f>
        <v/>
      </c>
      <c r="C30" s="20">
        <f>C29+C28</f>
        <v/>
      </c>
      <c r="D30" s="20">
        <f>D29+D28</f>
        <v/>
      </c>
      <c r="E30" s="20">
        <f>E29+E28</f>
        <v/>
      </c>
      <c r="F30" s="20">
        <f>F29+F28</f>
        <v/>
      </c>
      <c r="G30" s="20">
        <f>G29+G28</f>
        <v/>
      </c>
      <c r="H30" s="20">
        <f>H29+H28</f>
        <v/>
      </c>
      <c r="I30" s="20">
        <f>I29+I28</f>
        <v/>
      </c>
      <c r="J30" s="20">
        <f>J29+J28</f>
        <v/>
      </c>
      <c r="K30" s="20">
        <f>K29+K28</f>
        <v/>
      </c>
      <c r="L30" s="20">
        <f>L29+L28</f>
        <v/>
      </c>
      <c r="M30" s="20">
        <f>M29+M28</f>
        <v/>
      </c>
      <c r="N30" s="20">
        <f>N29+N28</f>
        <v/>
      </c>
    </row>
    <row r="32">
      <c r="A32" s="1" t="inlineStr">
        <is>
          <t>WHAT IT SAYS</t>
        </is>
      </c>
    </row>
    <row r="33">
      <c r="A33" s="19" t="inlineStr">
        <is>
          <t>Lowest ending cash in the 13 weeks ($)</t>
        </is>
      </c>
      <c r="B33" s="20">
        <f>MIN($B$30:$N$30)</f>
        <v/>
      </c>
    </row>
    <row r="34">
      <c r="A34" s="14" t="inlineStr">
        <is>
          <t>The week it happens</t>
        </is>
      </c>
      <c r="B34" s="21">
        <f>IF(N($B$5)=0,"","Week "&amp;MATCH($B$33,$B$30:$N$30,0))</f>
        <v/>
      </c>
    </row>
    <row r="35">
      <c r="A35" s="14" t="inlineStr">
        <is>
          <t>Weeks below your cushion</t>
        </is>
      </c>
      <c r="B35" s="22">
        <f>IF($B$7="","",COUNTIF($B$30:$N$30,"&lt;"&amp;$B$7))</f>
        <v/>
      </c>
    </row>
    <row r="36">
      <c r="A36" s="14" t="inlineStr">
        <is>
          <t>Cash in over 13 weeks ($)</t>
        </is>
      </c>
      <c r="B36" s="18">
        <f>SUM($B$26:$N$26)</f>
        <v/>
      </c>
    </row>
    <row r="37">
      <c r="A37" s="14" t="inlineStr">
        <is>
          <t>Cash out over 13 weeks ($)</t>
        </is>
      </c>
      <c r="B37" s="18">
        <f>SUM($B$27:$N$27)</f>
        <v/>
      </c>
    </row>
    <row r="38" ht="44" customHeight="1">
      <c r="A38" s="19" t="inlineStr">
        <is>
          <t>What to do</t>
        </is>
      </c>
      <c r="B38" s="23">
        <f>IF($B$5="","Type the cash in your bank today to start.",IF($B$33&lt;0,"Cash runs out in "&amp;$B$34&amp;". Move a cost, ask for a deposit or chase a payment before then.",IF(AND($B$7&lt;&gt;"",N($B$35)&gt;0),"Cash stays above zero but dips under your cushion for "&amp;$B$35&amp;" weeks. Plan for "&amp;$B$34&amp;" now.","Cash stays above your cushion for all 13 weeks. Check it again next Monday.")))</f>
        <v/>
      </c>
    </row>
  </sheetData>
  <conditionalFormatting sqref="B30:N30">
    <cfRule type="expression" priority="1" dxfId="0">
      <formula>AND($B$7&lt;&gt;"",B30&lt;$B$7)</formula>
    </cfRule>
  </conditionalFormatting>
  <pageMargins left="0.75" right="0.75" top="1" bottom="1" header="0.5" footer="0.5"/>
  <pageSetup orientation="landscape" fitToHeight="0" fitToWidth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127</dc:creator>
  <dc:title xmlns:dc="http://purl.org/dc/elements/1.1/">13-Week Cash Flow</dc:title>
  <dcterms:created xmlns:dcterms="http://purl.org/dc/terms/" xmlns:xsi="http://www.w3.org/2001/XMLSchema-instance" xsi:type="dcterms:W3CDTF">2026-10-20T03:39:53Z</dcterms:created>
  <dcterms:modified xmlns:dcterms="http://purl.org/dc/terms/" xmlns:xsi="http://www.w3.org/2001/XMLSchema-instance" xsi:type="dcterms:W3CDTF">2026-10-20T03:39:53Z</dcterms:modified>
</cp:coreProperties>
</file>