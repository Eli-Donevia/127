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ountdown" sheetId="3" state="visible" r:id="rId3"/>
  </sheets>
  <definedNames>
    <definedName name="_xlnm._FilterDatabase" localSheetId="2" hidden="1">'Countdown'!$A$3:$K$45</definedName>
    <definedName name="_xlnm.Print_Titles" localSheetId="2">'Countdown'!$3:$3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2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0" borderId="2" pivotButton="0" quotePrefix="0" xfId="0"/>
    <xf numFmtId="3" fontId="5" fillId="3" borderId="1" applyAlignment="1" pivotButton="0" quotePrefix="0" xfId="0">
      <alignment wrapText="1"/>
    </xf>
    <xf numFmtId="0" fontId="8" fillId="0" borderId="2" pivotButton="0" quotePrefix="0" xfId="0"/>
    <xf numFmtId="9" fontId="8" fillId="4" borderId="1" applyAlignment="1" pivotButton="0" quotePrefix="0" xfId="0">
      <alignment wrapText="1"/>
    </xf>
    <xf numFmtId="3" fontId="8" fillId="4" borderId="1" applyAlignment="1" pivotButton="0" quotePrefix="0" xfId="0">
      <alignment wrapText="1"/>
    </xf>
    <xf numFmtId="0" fontId="8" fillId="4" borderId="1" applyAlignment="1" pivotButton="0" quotePrefix="0" xfId="0">
      <alignment wrapText="1"/>
    </xf>
    <xf numFmtId="164" fontId="5" fillId="3" borderId="1" applyAlignment="1" pivotButton="0" quotePrefix="0" xfId="0">
      <alignment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5" fontId="13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FFF3D6"/>
          <bgColor rgb="00FFF3D6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127</author>
  </authors>
  <commentList>
    <comment ref="A5" authorId="0" shapeId="0">
      <text>
        <t>About 14 days from today.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Launch Countdown</t>
        </is>
      </c>
    </row>
    <row r="4" ht="30" customHeight="1">
      <c r="B4" s="3" t="inlineStr">
        <is>
          <t>Every step from picking a launch date to the week after launch, with a do-by date for each so nothing important gets missed.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Open the Setup tab and type your launch date. Pick a day about 14 days out.</t>
        </is>
      </c>
    </row>
    <row r="8" ht="16" customHeight="1">
      <c r="B8" s="4" t="inlineStr">
        <is>
          <t>2.  Every task in the Countdown tab gets its do-by date from that one cell.</t>
        </is>
      </c>
    </row>
    <row r="9" ht="32" customHeight="1">
      <c r="B9" s="4" t="inlineStr">
        <is>
          <t>3.  Mark each task To do, Doing or Done. Overdue tasks turn red, tasks due in two days turn yellow.</t>
        </is>
      </c>
    </row>
    <row r="10" ht="16" customHeight="1">
      <c r="B10" s="4" t="inlineStr">
        <is>
          <t>4.  The Setup tab shows your progress and the next task due.</t>
        </is>
      </c>
    </row>
    <row r="11" ht="32" customHeight="1">
      <c r="B11" s="4" t="inlineStr">
        <is>
          <t>5.  Launch week: do the day's tasks, log every reply in the Pipeline Tracker and every objection in the Objection Log.</t>
        </is>
      </c>
    </row>
    <row r="13">
      <c r="B13" s="1" t="inlineStr">
        <is>
          <t>CELL COLORS</t>
        </is>
      </c>
    </row>
    <row r="14">
      <c r="B14" s="5" t="inlineStr">
        <is>
          <t>White cells: you type here.</t>
        </is>
      </c>
    </row>
    <row r="15">
      <c r="B15" s="6" t="inlineStr">
        <is>
          <t>Grey cells: calculated for you. Leave them alone.</t>
        </is>
      </c>
    </row>
    <row r="16">
      <c r="B16" s="7" t="inlineStr">
        <is>
          <t>Lilac cells: the answer you came for.</t>
        </is>
      </c>
    </row>
    <row r="18">
      <c r="B18" s="1" t="inlineStr">
        <is>
          <t>OPEN IT ANYWHERE</t>
        </is>
      </c>
    </row>
    <row r="19" ht="30" customHeight="1">
      <c r="B19" s="8" t="inlineStr">
        <is>
          <t>Google Sheets: go to sheets.new, then File &gt; Import &gt; Upload this file &gt; Replace spreadsheet. Formulas and dropdowns come with it.</t>
        </is>
      </c>
    </row>
    <row r="20" ht="15" customHeight="1">
      <c r="B20" s="8" t="inlineStr">
        <is>
          <t>Excel: double-click the file. Numbers on a Mac: open it with Numbers.</t>
        </is>
      </c>
    </row>
    <row r="21" ht="15" customHeight="1">
      <c r="B21" s="8" t="inlineStr">
        <is>
          <t>Phone: upload it to Google Drive, then open it in the Google Sheets app.</t>
        </is>
      </c>
    </row>
    <row r="23" ht="30" customHeight="1">
      <c r="B23" s="9" t="inlineStr">
        <is>
          <t>Registration, taxes and business money rules depend on where you live. This is not legal or tax advice. Check your local rules or ask a professional.</t>
        </is>
      </c>
    </row>
    <row r="25">
      <c r="B25" s="10" t="inlineStr">
        <is>
          <t>Make today day one.  ·  127group.io</t>
        </is>
      </c>
    </row>
    <row r="26">
      <c r="B26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 ht="26" customHeight="1">
      <c r="A1" s="12" t="inlineStr">
        <is>
          <t>Launch Countdown</t>
        </is>
      </c>
    </row>
    <row r="2">
      <c r="A2" s="13" t="inlineStr">
        <is>
          <t>Type your launch date. Everything else fills in.</t>
        </is>
      </c>
    </row>
    <row r="4">
      <c r="A4" s="1" t="inlineStr">
        <is>
          <t>YOUR LAUNCH</t>
        </is>
      </c>
    </row>
    <row r="5">
      <c r="A5" s="14" t="inlineStr">
        <is>
          <t>Launch day</t>
        </is>
      </c>
      <c r="B5" s="15" t="n"/>
    </row>
    <row r="6">
      <c r="A6" s="14" t="inlineStr">
        <is>
          <t>Days until launch</t>
        </is>
      </c>
      <c r="B6" s="16">
        <f>IF($B$5="","",$B$5-TODAY())</f>
        <v/>
      </c>
    </row>
    <row r="7" ht="30" customHeight="1">
      <c r="A7" s="14" t="inlineStr">
        <is>
          <t>The three people checking in on you</t>
        </is>
      </c>
      <c r="B7" s="17" t="n"/>
    </row>
    <row r="9">
      <c r="A9" s="1" t="inlineStr">
        <is>
          <t>PROGRESS</t>
        </is>
      </c>
    </row>
    <row r="10">
      <c r="A10" s="18" t="inlineStr">
        <is>
          <t>Tasks</t>
        </is>
      </c>
      <c r="B10" s="19">
        <f>COUNTA('Countdown'!$C$4:$C$45)</f>
        <v/>
      </c>
    </row>
    <row r="11">
      <c r="A11" s="18" t="inlineStr">
        <is>
          <t>Done</t>
        </is>
      </c>
      <c r="B11" s="19">
        <f>COUNTIF('Countdown'!$G$4:$G$45,"Done")</f>
        <v/>
      </c>
    </row>
    <row r="12">
      <c r="A12" s="20" t="inlineStr">
        <is>
          <t>Percent done</t>
        </is>
      </c>
      <c r="B12" s="21">
        <f>IF(B10=0,"",B11/B10)</f>
        <v/>
      </c>
    </row>
    <row r="13">
      <c r="A13" s="20" t="inlineStr">
        <is>
          <t>Overdue</t>
        </is>
      </c>
      <c r="B13" s="22">
        <f>COUNTIFS('Countdown'!$F$4:$F$45,"&lt;0")</f>
        <v/>
      </c>
    </row>
    <row r="14">
      <c r="A14" s="20" t="inlineStr">
        <is>
          <t>Next task due</t>
        </is>
      </c>
      <c r="B14" s="23">
        <f>IF(COUNT('Countdown'!$K$4:$K$45)=0,"",INDEX('Countdown'!$C$4:$C$45,MATCH(MIN('Countdown'!$K$4:$K$45),'Countdown'!$K$4:$K$45,0)))</f>
        <v/>
      </c>
    </row>
    <row r="15">
      <c r="A15" s="18" t="inlineStr">
        <is>
          <t>Its do-by date</t>
        </is>
      </c>
      <c r="B15" s="24">
        <f>IF(COUNT('Countdown'!$K$4:$K$45)=0,"",MIN('Countdown'!$K$4:$K$45))</f>
        <v/>
      </c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hidden="1" width="8" customWidth="1" min="4" max="4"/>
    <col width="12" customWidth="1" min="5" max="5"/>
    <col width="8" customWidth="1" min="6" max="6"/>
    <col width="11" customWidth="1" min="7" max="7"/>
    <col width="11" customWidth="1" min="8" max="8"/>
    <col width="30" customWidth="1" min="9" max="9"/>
    <col hidden="1" width="6" customWidth="1" min="10" max="10"/>
    <col hidden="1" width="6" customWidth="1" min="11" max="11"/>
  </cols>
  <sheetData>
    <row r="1" ht="26" customHeight="1">
      <c r="A1" s="12" t="inlineStr">
        <is>
          <t>Launch Countdown</t>
        </is>
      </c>
    </row>
    <row r="2" ht="16" customHeight="1">
      <c r="A2" s="13" t="inlineStr">
        <is>
          <t>Do-by dates come from your launch date on the Setup tab.</t>
        </is>
      </c>
    </row>
    <row r="3" ht="40" customHeight="1">
      <c r="A3" s="25" t="inlineStr">
        <is>
          <t>#</t>
        </is>
      </c>
      <c r="B3" s="25" t="inlineStr">
        <is>
          <t>Phase</t>
        </is>
      </c>
      <c r="C3" s="25" t="inlineStr">
        <is>
          <t>Task</t>
        </is>
      </c>
      <c r="D3" s="25" t="inlineStr">
        <is>
          <t>Days from launch</t>
        </is>
      </c>
      <c r="E3" s="26" t="inlineStr">
        <is>
          <t>Do by</t>
        </is>
      </c>
      <c r="F3" s="26" t="inlineStr">
        <is>
          <t>Days left</t>
        </is>
      </c>
      <c r="G3" s="25" t="inlineStr">
        <is>
          <t>Status</t>
        </is>
      </c>
      <c r="H3" s="25" t="inlineStr">
        <is>
          <t>Done on</t>
        </is>
      </c>
      <c r="I3" s="25" t="inlineStr">
        <is>
          <t>Notes</t>
        </is>
      </c>
      <c r="J3" s="25" t="inlineStr">
        <is>
          <t>id</t>
        </is>
      </c>
      <c r="K3" s="26" t="inlineStr">
        <is>
          <t>open</t>
        </is>
      </c>
    </row>
    <row r="4">
      <c r="A4" s="27" t="n">
        <v>1</v>
      </c>
      <c r="B4" s="27" t="inlineStr">
        <is>
          <t>Today</t>
        </is>
      </c>
      <c r="C4" s="17" t="inlineStr">
        <is>
          <t>Pick a launch date about 14 days out and put it on your calendar.</t>
        </is>
      </c>
      <c r="D4" s="27" t="n">
        <v>-14</v>
      </c>
      <c r="E4" s="28">
        <f>IF('Setup'!$B$5="","",'Setup'!$B$5+D4)</f>
        <v/>
      </c>
      <c r="F4" s="29">
        <f>IF(OR(E4="",G4="Done"),"",E4-TODAY())</f>
        <v/>
      </c>
      <c r="G4" s="27" t="n"/>
      <c r="H4" s="30" t="n"/>
      <c r="I4" s="17" t="n"/>
      <c r="J4" s="27" t="inlineStr">
        <is>
          <t>launch-countdown.today.1</t>
        </is>
      </c>
      <c r="K4" s="29">
        <f>IF(OR(G4="Done",G4="Skipped"),"",E4)</f>
        <v/>
      </c>
    </row>
    <row r="5">
      <c r="A5" s="27" t="n">
        <v>2</v>
      </c>
      <c r="B5" s="27" t="inlineStr">
        <is>
          <t>Today</t>
        </is>
      </c>
      <c r="C5" s="17" t="inlineStr">
        <is>
          <t>Text three people the date and ask them to check in on you.</t>
        </is>
      </c>
      <c r="D5" s="27" t="n">
        <v>-14</v>
      </c>
      <c r="E5" s="28">
        <f>IF('Setup'!$B$5="","",'Setup'!$B$5+D5)</f>
        <v/>
      </c>
      <c r="F5" s="29">
        <f>IF(OR(E5="",G5="Done"),"",E5-TODAY())</f>
        <v/>
      </c>
      <c r="G5" s="27" t="n"/>
      <c r="H5" s="30" t="n"/>
      <c r="I5" s="17" t="n"/>
      <c r="J5" s="27" t="inlineStr">
        <is>
          <t>launch-countdown.today.2</t>
        </is>
      </c>
      <c r="K5" s="29">
        <f>IF(OR(G5="Done",G5="Skipped"),"",E5)</f>
        <v/>
      </c>
    </row>
    <row r="6">
      <c r="A6" s="27" t="n">
        <v>3</v>
      </c>
      <c r="B6" s="27" t="inlineStr">
        <is>
          <t>Today</t>
        </is>
      </c>
      <c r="C6" s="17" t="inlineStr">
        <is>
          <t>Copy this countdown into Google Sheets, Notion or your notes app.</t>
        </is>
      </c>
      <c r="D6" s="27" t="n">
        <v>-14</v>
      </c>
      <c r="E6" s="28">
        <f>IF('Setup'!$B$5="","",'Setup'!$B$5+D6)</f>
        <v/>
      </c>
      <c r="F6" s="29">
        <f>IF(OR(E6="",G6="Done"),"",E6-TODAY())</f>
        <v/>
      </c>
      <c r="G6" s="27" t="n"/>
      <c r="H6" s="30" t="n"/>
      <c r="I6" s="17" t="n"/>
      <c r="J6" s="27" t="inlineStr">
        <is>
          <t>launch-countdown.today.3</t>
        </is>
      </c>
      <c r="K6" s="29">
        <f>IF(OR(G6="Done",G6="Skipped"),"",E6)</f>
        <v/>
      </c>
    </row>
    <row r="7">
      <c r="A7" s="27" t="n">
        <v>4</v>
      </c>
      <c r="B7" s="27" t="inlineStr">
        <is>
          <t>Two weeks before: set up the foundation</t>
        </is>
      </c>
      <c r="C7" s="17" t="inlineStr">
        <is>
          <t>Finish your One-Page Offer.</t>
        </is>
      </c>
      <c r="D7" s="27" t="n">
        <v>-8</v>
      </c>
      <c r="E7" s="28">
        <f>IF('Setup'!$B$5="","",'Setup'!$B$5+D7)</f>
        <v/>
      </c>
      <c r="F7" s="29">
        <f>IF(OR(E7="",G7="Done"),"",E7-TODAY())</f>
        <v/>
      </c>
      <c r="G7" s="27" t="n"/>
      <c r="H7" s="30" t="n"/>
      <c r="I7" s="17" t="n"/>
      <c r="J7" s="27" t="inlineStr">
        <is>
          <t>launch-countdown.t14.1</t>
        </is>
      </c>
      <c r="K7" s="29">
        <f>IF(OR(G7="Done",G7="Skipped"),"",E7)</f>
        <v/>
      </c>
    </row>
    <row r="8">
      <c r="A8" s="27" t="n">
        <v>5</v>
      </c>
      <c r="B8" s="27" t="inlineStr">
        <is>
          <t>Two weeks before: set up the foundation</t>
        </is>
      </c>
      <c r="C8" s="17" t="inlineStr">
        <is>
          <t>Fill in your Landing Page Brief and build the page.</t>
        </is>
      </c>
      <c r="D8" s="27" t="n">
        <v>-8</v>
      </c>
      <c r="E8" s="28">
        <f>IF('Setup'!$B$5="","",'Setup'!$B$5+D8)</f>
        <v/>
      </c>
      <c r="F8" s="29">
        <f>IF(OR(E8="",G8="Done"),"",E8-TODAY())</f>
        <v/>
      </c>
      <c r="G8" s="27" t="n"/>
      <c r="H8" s="30" t="n"/>
      <c r="I8" s="17" t="n"/>
      <c r="J8" s="27" t="inlineStr">
        <is>
          <t>launch-countdown.t14.2</t>
        </is>
      </c>
      <c r="K8" s="29">
        <f>IF(OR(G8="Done",G8="Skipped"),"",E8)</f>
        <v/>
      </c>
    </row>
    <row r="9">
      <c r="A9" s="27" t="n">
        <v>6</v>
      </c>
      <c r="B9" s="27" t="inlineStr">
        <is>
          <t>Two weeks before: set up the foundation</t>
        </is>
      </c>
      <c r="C9" s="17" t="inlineStr">
        <is>
          <t>Run the five-point pre-launch check on your phone.</t>
        </is>
      </c>
      <c r="D9" s="27" t="n">
        <v>-8</v>
      </c>
      <c r="E9" s="28">
        <f>IF('Setup'!$B$5="","",'Setup'!$B$5+D9)</f>
        <v/>
      </c>
      <c r="F9" s="29">
        <f>IF(OR(E9="",G9="Done"),"",E9-TODAY())</f>
        <v/>
      </c>
      <c r="G9" s="27" t="n"/>
      <c r="H9" s="30" t="n"/>
      <c r="I9" s="17" t="n"/>
      <c r="J9" s="27" t="inlineStr">
        <is>
          <t>launch-countdown.t14.3</t>
        </is>
      </c>
      <c r="K9" s="29">
        <f>IF(OR(G9="Done",G9="Skipped"),"",E9)</f>
        <v/>
      </c>
    </row>
    <row r="10">
      <c r="A10" s="27" t="n">
        <v>7</v>
      </c>
      <c r="B10" s="27" t="inlineStr">
        <is>
          <t>Two weeks before: set up the foundation</t>
        </is>
      </c>
      <c r="C10" s="17" t="inlineStr">
        <is>
          <t>Set up payments: Shopify Payments for a store, or a payment link for a service.</t>
        </is>
      </c>
      <c r="D10" s="27" t="n">
        <v>-8</v>
      </c>
      <c r="E10" s="28">
        <f>IF('Setup'!$B$5="","",'Setup'!$B$5+D10)</f>
        <v/>
      </c>
      <c r="F10" s="29">
        <f>IF(OR(E10="",G10="Done"),"",E10-TODAY())</f>
        <v/>
      </c>
      <c r="G10" s="27" t="n"/>
      <c r="H10" s="30" t="n"/>
      <c r="I10" s="17" t="n"/>
      <c r="J10" s="27" t="inlineStr">
        <is>
          <t>launch-countdown.t14.4</t>
        </is>
      </c>
      <c r="K10" s="29">
        <f>IF(OR(G10="Done",G10="Skipped"),"",E10)</f>
        <v/>
      </c>
    </row>
    <row r="11">
      <c r="A11" s="27" t="n">
        <v>8</v>
      </c>
      <c r="B11" s="27" t="inlineStr">
        <is>
          <t>Two weeks before: set up the foundation</t>
        </is>
      </c>
      <c r="C11" s="17" t="inlineStr">
        <is>
          <t>Make a real payment with your own card, then refund it.</t>
        </is>
      </c>
      <c r="D11" s="27" t="n">
        <v>-8</v>
      </c>
      <c r="E11" s="28">
        <f>IF('Setup'!$B$5="","",'Setup'!$B$5+D11)</f>
        <v/>
      </c>
      <c r="F11" s="29">
        <f>IF(OR(E11="",G11="Done"),"",E11-TODAY())</f>
        <v/>
      </c>
      <c r="G11" s="27" t="n"/>
      <c r="H11" s="30" t="n"/>
      <c r="I11" s="17" t="n"/>
      <c r="J11" s="27" t="inlineStr">
        <is>
          <t>launch-countdown.t14.5</t>
        </is>
      </c>
      <c r="K11" s="29">
        <f>IF(OR(G11="Done",G11="Skipped"),"",E11)</f>
        <v/>
      </c>
    </row>
    <row r="12">
      <c r="A12" s="27" t="n">
        <v>9</v>
      </c>
      <c r="B12" s="27" t="inlineStr">
        <is>
          <t>Two weeks before: set up the foundation</t>
        </is>
      </c>
      <c r="C12" s="17" t="inlineStr">
        <is>
          <t>Look into registering your business. Check your local rules or ask a professional. This isn't legal or tax advice.</t>
        </is>
      </c>
      <c r="D12" s="27" t="n">
        <v>-8</v>
      </c>
      <c r="E12" s="28">
        <f>IF('Setup'!$B$5="","",'Setup'!$B$5+D12)</f>
        <v/>
      </c>
      <c r="F12" s="29">
        <f>IF(OR(E12="",G12="Done"),"",E12-TODAY())</f>
        <v/>
      </c>
      <c r="G12" s="27" t="n"/>
      <c r="H12" s="30" t="n"/>
      <c r="I12" s="17" t="n"/>
      <c r="J12" s="27" t="inlineStr">
        <is>
          <t>launch-countdown.t14.6</t>
        </is>
      </c>
      <c r="K12" s="29">
        <f>IF(OR(G12="Done",G12="Skipped"),"",E12)</f>
        <v/>
      </c>
    </row>
    <row r="13">
      <c r="A13" s="27" t="n">
        <v>10</v>
      </c>
      <c r="B13" s="27" t="inlineStr">
        <is>
          <t>Two weeks before: set up the foundation</t>
        </is>
      </c>
      <c r="C13" s="17" t="inlineStr">
        <is>
          <t>Set up a separate way to track business money. See Before You Take Money.</t>
        </is>
      </c>
      <c r="D13" s="27" t="n">
        <v>-8</v>
      </c>
      <c r="E13" s="28">
        <f>IF('Setup'!$B$5="","",'Setup'!$B$5+D13)</f>
        <v/>
      </c>
      <c r="F13" s="29">
        <f>IF(OR(E13="",G13="Done"),"",E13-TODAY())</f>
        <v/>
      </c>
      <c r="G13" s="27" t="n"/>
      <c r="H13" s="30" t="n"/>
      <c r="I13" s="17" t="n"/>
      <c r="J13" s="27" t="inlineStr">
        <is>
          <t>launch-countdown.t14.7</t>
        </is>
      </c>
      <c r="K13" s="29">
        <f>IF(OR(G13="Done",G13="Skipped"),"",E13)</f>
        <v/>
      </c>
    </row>
    <row r="14">
      <c r="A14" s="27" t="n">
        <v>11</v>
      </c>
      <c r="B14" s="27" t="inlineStr">
        <is>
          <t>Two weeks before: set up the foundation</t>
        </is>
      </c>
      <c r="C14" s="17" t="inlineStr">
        <is>
          <t>Write your delivery steps: everything that happens after someone pays.</t>
        </is>
      </c>
      <c r="D14" s="27" t="n">
        <v>-8</v>
      </c>
      <c r="E14" s="28">
        <f>IF('Setup'!$B$5="","",'Setup'!$B$5+D14)</f>
        <v/>
      </c>
      <c r="F14" s="29">
        <f>IF(OR(E14="",G14="Done"),"",E14-TODAY())</f>
        <v/>
      </c>
      <c r="G14" s="27" t="n"/>
      <c r="H14" s="30" t="n"/>
      <c r="I14" s="17" t="n"/>
      <c r="J14" s="27" t="inlineStr">
        <is>
          <t>launch-countdown.t14.8</t>
        </is>
      </c>
      <c r="K14" s="29">
        <f>IF(OR(G14="Done",G14="Skipped"),"",E14)</f>
        <v/>
      </c>
    </row>
    <row r="15">
      <c r="A15" s="27" t="n">
        <v>12</v>
      </c>
      <c r="B15" s="27" t="inlineStr">
        <is>
          <t>Two weeks before: set up the foundation</t>
        </is>
      </c>
      <c r="C15" s="17" t="inlineStr">
        <is>
          <t>Do one full test delivery with a friend.</t>
        </is>
      </c>
      <c r="D15" s="27" t="n">
        <v>-8</v>
      </c>
      <c r="E15" s="28">
        <f>IF('Setup'!$B$5="","",'Setup'!$B$5+D15)</f>
        <v/>
      </c>
      <c r="F15" s="29">
        <f>IF(OR(E15="",G15="Done"),"",E15-TODAY())</f>
        <v/>
      </c>
      <c r="G15" s="27" t="n"/>
      <c r="H15" s="30" t="n"/>
      <c r="I15" s="17" t="n"/>
      <c r="J15" s="27" t="inlineStr">
        <is>
          <t>launch-countdown.t14.9</t>
        </is>
      </c>
      <c r="K15" s="29">
        <f>IF(OR(G15="Done",G15="Skipped"),"",E15)</f>
        <v/>
      </c>
    </row>
    <row r="16">
      <c r="A16" s="27" t="n">
        <v>13</v>
      </c>
      <c r="B16" s="27" t="inlineStr">
        <is>
          <t>One week before: warm up your list</t>
        </is>
      </c>
      <c r="C16" s="17" t="inlineStr">
        <is>
          <t>Write your warm list in the Pipeline Tracker. Aim for 30 names.</t>
        </is>
      </c>
      <c r="D16" s="27" t="n">
        <v>-1</v>
      </c>
      <c r="E16" s="28">
        <f>IF('Setup'!$B$5="","",'Setup'!$B$5+D16)</f>
        <v/>
      </c>
      <c r="F16" s="29">
        <f>IF(OR(E16="",G16="Done"),"",E16-TODAY())</f>
        <v/>
      </c>
      <c r="G16" s="27" t="n"/>
      <c r="H16" s="30" t="n"/>
      <c r="I16" s="17" t="n"/>
      <c r="J16" s="27" t="inlineStr">
        <is>
          <t>launch-countdown.t7.1</t>
        </is>
      </c>
      <c r="K16" s="29">
        <f>IF(OR(G16="Done",G16="Skipped"),"",E16)</f>
        <v/>
      </c>
    </row>
    <row r="17">
      <c r="A17" s="27" t="n">
        <v>14</v>
      </c>
      <c r="B17" s="27" t="inlineStr">
        <is>
          <t>One week before: warm up your list</t>
        </is>
      </c>
      <c r="C17" s="17" t="inlineStr">
        <is>
          <t>Mark the 10 people most likely to buy.</t>
        </is>
      </c>
      <c r="D17" s="27" t="n">
        <v>-1</v>
      </c>
      <c r="E17" s="28">
        <f>IF('Setup'!$B$5="","",'Setup'!$B$5+D17)</f>
        <v/>
      </c>
      <c r="F17" s="29">
        <f>IF(OR(E17="",G17="Done"),"",E17-TODAY())</f>
        <v/>
      </c>
      <c r="G17" s="27" t="n"/>
      <c r="H17" s="30" t="n"/>
      <c r="I17" s="17" t="n"/>
      <c r="J17" s="27" t="inlineStr">
        <is>
          <t>launch-countdown.t7.2</t>
        </is>
      </c>
      <c r="K17" s="29">
        <f>IF(OR(G17="Done",G17="Skipped"),"",E17)</f>
        <v/>
      </c>
    </row>
    <row r="18">
      <c r="A18" s="27" t="n">
        <v>15</v>
      </c>
      <c r="B18" s="27" t="inlineStr">
        <is>
          <t>One week before: warm up your list</t>
        </is>
      </c>
      <c r="C18" s="17" t="inlineStr">
        <is>
          <t>Send those 10 a personal heads-up and ask if you can send them the link first.</t>
        </is>
      </c>
      <c r="D18" s="27" t="n">
        <v>-1</v>
      </c>
      <c r="E18" s="28">
        <f>IF('Setup'!$B$5="","",'Setup'!$B$5+D18)</f>
        <v/>
      </c>
      <c r="F18" s="29">
        <f>IF(OR(E18="",G18="Done"),"",E18-TODAY())</f>
        <v/>
      </c>
      <c r="G18" s="27" t="n"/>
      <c r="H18" s="30" t="n"/>
      <c r="I18" s="17" t="n"/>
      <c r="J18" s="27" t="inlineStr">
        <is>
          <t>launch-countdown.t7.3</t>
        </is>
      </c>
      <c r="K18" s="29">
        <f>IF(OR(G18="Done",G18="Skipped"),"",E18)</f>
        <v/>
      </c>
    </row>
    <row r="19">
      <c r="A19" s="27" t="n">
        <v>16</v>
      </c>
      <c r="B19" s="27" t="inlineStr">
        <is>
          <t>One week before: warm up your list</t>
        </is>
      </c>
      <c r="C19" s="17" t="inlineStr">
        <is>
          <t>Post once about what you're building and why.</t>
        </is>
      </c>
      <c r="D19" s="27" t="n">
        <v>-1</v>
      </c>
      <c r="E19" s="28">
        <f>IF('Setup'!$B$5="","",'Setup'!$B$5+D19)</f>
        <v/>
      </c>
      <c r="F19" s="29">
        <f>IF(OR(E19="",G19="Done"),"",E19-TODAY())</f>
        <v/>
      </c>
      <c r="G19" s="27" t="n"/>
      <c r="H19" s="30" t="n"/>
      <c r="I19" s="17" t="n"/>
      <c r="J19" s="27" t="inlineStr">
        <is>
          <t>launch-countdown.t7.4</t>
        </is>
      </c>
      <c r="K19" s="29">
        <f>IF(OR(G19="Done",G19="Skipped"),"",E19)</f>
        <v/>
      </c>
    </row>
    <row r="20">
      <c r="A20" s="27" t="n">
        <v>17</v>
      </c>
      <c r="B20" s="27" t="inlineStr">
        <is>
          <t>One week before: warm up your list</t>
        </is>
      </c>
      <c r="C20" s="17" t="inlineStr">
        <is>
          <t>Draft your launch post, your launch DM and your launch story.</t>
        </is>
      </c>
      <c r="D20" s="27" t="n">
        <v>-1</v>
      </c>
      <c r="E20" s="28">
        <f>IF('Setup'!$B$5="","",'Setup'!$B$5+D20)</f>
        <v/>
      </c>
      <c r="F20" s="29">
        <f>IF(OR(E20="",G20="Done"),"",E20-TODAY())</f>
        <v/>
      </c>
      <c r="G20" s="27" t="n"/>
      <c r="H20" s="30" t="n"/>
      <c r="I20" s="17" t="n"/>
      <c r="J20" s="27" t="inlineStr">
        <is>
          <t>launch-countdown.t7.5</t>
        </is>
      </c>
      <c r="K20" s="29">
        <f>IF(OR(G20="Done",G20="Skipped"),"",E20)</f>
        <v/>
      </c>
    </row>
    <row r="21">
      <c r="A21" s="27" t="n">
        <v>18</v>
      </c>
      <c r="B21" s="27" t="inlineStr">
        <is>
          <t>One week before: warm up your list</t>
        </is>
      </c>
      <c r="C21" s="17" t="inlineStr">
        <is>
          <t>Write the welcome message every new customer gets.</t>
        </is>
      </c>
      <c r="D21" s="27" t="n">
        <v>-1</v>
      </c>
      <c r="E21" s="28">
        <f>IF('Setup'!$B$5="","",'Setup'!$B$5+D21)</f>
        <v/>
      </c>
      <c r="F21" s="29">
        <f>IF(OR(E21="",G21="Done"),"",E21-TODAY())</f>
        <v/>
      </c>
      <c r="G21" s="27" t="n"/>
      <c r="H21" s="30" t="n"/>
      <c r="I21" s="17" t="n"/>
      <c r="J21" s="27" t="inlineStr">
        <is>
          <t>launch-countdown.t7.6</t>
        </is>
      </c>
      <c r="K21" s="29">
        <f>IF(OR(G21="Done",G21="Skipped"),"",E21)</f>
        <v/>
      </c>
    </row>
    <row r="22">
      <c r="A22" s="27" t="n">
        <v>19</v>
      </c>
      <c r="B22" s="27" t="inlineStr">
        <is>
          <t>One week before: warm up your list</t>
        </is>
      </c>
      <c r="C22" s="17" t="inlineStr">
        <is>
          <t>Write your three feedback questions.</t>
        </is>
      </c>
      <c r="D22" s="27" t="n">
        <v>-1</v>
      </c>
      <c r="E22" s="28">
        <f>IF('Setup'!$B$5="","",'Setup'!$B$5+D22)</f>
        <v/>
      </c>
      <c r="F22" s="29">
        <f>IF(OR(E22="",G22="Done"),"",E22-TODAY())</f>
        <v/>
      </c>
      <c r="G22" s="27" t="n"/>
      <c r="H22" s="30" t="n"/>
      <c r="I22" s="17" t="n"/>
      <c r="J22" s="27" t="inlineStr">
        <is>
          <t>launch-countdown.t7.7</t>
        </is>
      </c>
      <c r="K22" s="29">
        <f>IF(OR(G22="Done",G22="Skipped"),"",E22)</f>
        <v/>
      </c>
    </row>
    <row r="23">
      <c r="A23" s="27" t="n">
        <v>20</v>
      </c>
      <c r="B23" s="27" t="inlineStr">
        <is>
          <t>One week before: warm up your list</t>
        </is>
      </c>
      <c r="C23" s="17" t="inlineStr">
        <is>
          <t>Open the Objection Log so you can capture every "but" during launch week.</t>
        </is>
      </c>
      <c r="D23" s="27" t="n">
        <v>-1</v>
      </c>
      <c r="E23" s="28">
        <f>IF('Setup'!$B$5="","",'Setup'!$B$5+D23)</f>
        <v/>
      </c>
      <c r="F23" s="29">
        <f>IF(OR(E23="",G23="Done"),"",E23-TODAY())</f>
        <v/>
      </c>
      <c r="G23" s="27" t="n"/>
      <c r="H23" s="30" t="n"/>
      <c r="I23" s="17" t="n"/>
      <c r="J23" s="27" t="inlineStr">
        <is>
          <t>launch-countdown.t7.8</t>
        </is>
      </c>
      <c r="K23" s="29">
        <f>IF(OR(G23="Done",G23="Skipped"),"",E23)</f>
        <v/>
      </c>
    </row>
    <row r="24">
      <c r="A24" s="27" t="n">
        <v>21</v>
      </c>
      <c r="B24" s="27" t="inlineStr">
        <is>
          <t>Launch day</t>
        </is>
      </c>
      <c r="C24" s="17" t="inlineStr">
        <is>
          <t>Send personal DMs to your top 10. One at a time, never a group message.</t>
        </is>
      </c>
      <c r="D24" s="27" t="n">
        <v>0</v>
      </c>
      <c r="E24" s="28">
        <f>IF('Setup'!$B$5="","",'Setup'!$B$5+D24)</f>
        <v/>
      </c>
      <c r="F24" s="29">
        <f>IF(OR(E24="",G24="Done"),"",E24-TODAY())</f>
        <v/>
      </c>
      <c r="G24" s="27" t="n"/>
      <c r="H24" s="30" t="n"/>
      <c r="I24" s="17" t="n"/>
      <c r="J24" s="27" t="inlineStr">
        <is>
          <t>launch-countdown.d1.1</t>
        </is>
      </c>
      <c r="K24" s="29">
        <f>IF(OR(G24="Done",G24="Skipped"),"",E24)</f>
        <v/>
      </c>
    </row>
    <row r="25">
      <c r="A25" s="27" t="n">
        <v>22</v>
      </c>
      <c r="B25" s="27" t="inlineStr">
        <is>
          <t>Launch day</t>
        </is>
      </c>
      <c r="C25" s="17" t="inlineStr">
        <is>
          <t>Post your launch post and your story.</t>
        </is>
      </c>
      <c r="D25" s="27" t="n">
        <v>0</v>
      </c>
      <c r="E25" s="28">
        <f>IF('Setup'!$B$5="","",'Setup'!$B$5+D25)</f>
        <v/>
      </c>
      <c r="F25" s="29">
        <f>IF(OR(E25="",G25="Done"),"",E25-TODAY())</f>
        <v/>
      </c>
      <c r="G25" s="27" t="n"/>
      <c r="H25" s="30" t="n"/>
      <c r="I25" s="17" t="n"/>
      <c r="J25" s="27" t="inlineStr">
        <is>
          <t>launch-countdown.d1.2</t>
        </is>
      </c>
      <c r="K25" s="29">
        <f>IF(OR(G25="Done",G25="Skipped"),"",E25)</f>
        <v/>
      </c>
    </row>
    <row r="26">
      <c r="A26" s="27" t="n">
        <v>23</v>
      </c>
      <c r="B26" s="27" t="inlineStr">
        <is>
          <t>Launch day</t>
        </is>
      </c>
      <c r="C26" s="17" t="inlineStr">
        <is>
          <t>Reply to every comment and DM the same day.</t>
        </is>
      </c>
      <c r="D26" s="27" t="n">
        <v>0</v>
      </c>
      <c r="E26" s="28">
        <f>IF('Setup'!$B$5="","",'Setup'!$B$5+D26)</f>
        <v/>
      </c>
      <c r="F26" s="29">
        <f>IF(OR(E26="",G26="Done"),"",E26-TODAY())</f>
        <v/>
      </c>
      <c r="G26" s="27" t="n"/>
      <c r="H26" s="30" t="n"/>
      <c r="I26" s="17" t="n"/>
      <c r="J26" s="27" t="inlineStr">
        <is>
          <t>launch-countdown.d1.3</t>
        </is>
      </c>
      <c r="K26" s="29">
        <f>IF(OR(G26="Done",G26="Skipped"),"",E26)</f>
        <v/>
      </c>
    </row>
    <row r="27">
      <c r="A27" s="27" t="n">
        <v>24</v>
      </c>
      <c r="B27" s="27" t="inlineStr">
        <is>
          <t>Launch day</t>
        </is>
      </c>
      <c r="C27" s="17" t="inlineStr">
        <is>
          <t>Log every reply and sale in the Pipeline Tracker.</t>
        </is>
      </c>
      <c r="D27" s="27" t="n">
        <v>0</v>
      </c>
      <c r="E27" s="28">
        <f>IF('Setup'!$B$5="","",'Setup'!$B$5+D27)</f>
        <v/>
      </c>
      <c r="F27" s="29">
        <f>IF(OR(E27="",G27="Done"),"",E27-TODAY())</f>
        <v/>
      </c>
      <c r="G27" s="27" t="n"/>
      <c r="H27" s="30" t="n"/>
      <c r="I27" s="17" t="n"/>
      <c r="J27" s="27" t="inlineStr">
        <is>
          <t>launch-countdown.d1.4</t>
        </is>
      </c>
      <c r="K27" s="29">
        <f>IF(OR(G27="Done",G27="Skipped"),"",E27)</f>
        <v/>
      </c>
    </row>
    <row r="28">
      <c r="A28" s="27" t="n">
        <v>25</v>
      </c>
      <c r="B28" s="27" t="inlineStr">
        <is>
          <t>Day 2</t>
        </is>
      </c>
      <c r="C28" s="17" t="inlineStr">
        <is>
          <t>Message the next 20 people on your warm list.</t>
        </is>
      </c>
      <c r="D28" s="27" t="n">
        <v>1</v>
      </c>
      <c r="E28" s="28">
        <f>IF('Setup'!$B$5="","",'Setup'!$B$5+D28)</f>
        <v/>
      </c>
      <c r="F28" s="29">
        <f>IF(OR(E28="",G28="Done"),"",E28-TODAY())</f>
        <v/>
      </c>
      <c r="G28" s="27" t="n"/>
      <c r="H28" s="30" t="n"/>
      <c r="I28" s="17" t="n"/>
      <c r="J28" s="27" t="inlineStr">
        <is>
          <t>launch-countdown.d2.1</t>
        </is>
      </c>
      <c r="K28" s="29">
        <f>IF(OR(G28="Done",G28="Skipped"),"",E28)</f>
        <v/>
      </c>
    </row>
    <row r="29">
      <c r="A29" s="27" t="n">
        <v>26</v>
      </c>
      <c r="B29" s="27" t="inlineStr">
        <is>
          <t>Day 2</t>
        </is>
      </c>
      <c r="C29" s="17" t="inlineStr">
        <is>
          <t>Ask your day 1 buyers if they know one person who'd want this.</t>
        </is>
      </c>
      <c r="D29" s="27" t="n">
        <v>1</v>
      </c>
      <c r="E29" s="28">
        <f>IF('Setup'!$B$5="","",'Setup'!$B$5+D29)</f>
        <v/>
      </c>
      <c r="F29" s="29">
        <f>IF(OR(E29="",G29="Done"),"",E29-TODAY())</f>
        <v/>
      </c>
      <c r="G29" s="27" t="n"/>
      <c r="H29" s="30" t="n"/>
      <c r="I29" s="17" t="n"/>
      <c r="J29" s="27" t="inlineStr">
        <is>
          <t>launch-countdown.d2.2</t>
        </is>
      </c>
      <c r="K29" s="29">
        <f>IF(OR(G29="Done",G29="Skipped"),"",E29)</f>
        <v/>
      </c>
    </row>
    <row r="30">
      <c r="A30" s="27" t="n">
        <v>27</v>
      </c>
      <c r="B30" s="27" t="inlineStr">
        <is>
          <t>Day 3</t>
        </is>
      </c>
      <c r="C30" s="17" t="inlineStr">
        <is>
          <t>Post something useful about the problem you solve, like a before and after or a quick tip.</t>
        </is>
      </c>
      <c r="D30" s="27" t="n">
        <v>2</v>
      </c>
      <c r="E30" s="28">
        <f>IF('Setup'!$B$5="","",'Setup'!$B$5+D30)</f>
        <v/>
      </c>
      <c r="F30" s="29">
        <f>IF(OR(E30="",G30="Done"),"",E30-TODAY())</f>
        <v/>
      </c>
      <c r="G30" s="27" t="n"/>
      <c r="H30" s="30" t="n"/>
      <c r="I30" s="17" t="n"/>
      <c r="J30" s="27" t="inlineStr">
        <is>
          <t>launch-countdown.d3.1</t>
        </is>
      </c>
      <c r="K30" s="29">
        <f>IF(OR(G30="Done",G30="Skipped"),"",E30)</f>
        <v/>
      </c>
    </row>
    <row r="31">
      <c r="A31" s="27" t="n">
        <v>28</v>
      </c>
      <c r="B31" s="27" t="inlineStr">
        <is>
          <t>Day 3</t>
        </is>
      </c>
      <c r="C31" s="17" t="inlineStr">
        <is>
          <t>Log every objection you've heard so far in the Objection Log.</t>
        </is>
      </c>
      <c r="D31" s="27" t="n">
        <v>2</v>
      </c>
      <c r="E31" s="28">
        <f>IF('Setup'!$B$5="","",'Setup'!$B$5+D31)</f>
        <v/>
      </c>
      <c r="F31" s="29">
        <f>IF(OR(E31="",G31="Done"),"",E31-TODAY())</f>
        <v/>
      </c>
      <c r="G31" s="27" t="n"/>
      <c r="H31" s="30" t="n"/>
      <c r="I31" s="17" t="n"/>
      <c r="J31" s="27" t="inlineStr">
        <is>
          <t>launch-countdown.d3.2</t>
        </is>
      </c>
      <c r="K31" s="29">
        <f>IF(OR(G31="Done",G31="Skipped"),"",E31)</f>
        <v/>
      </c>
    </row>
    <row r="32">
      <c r="A32" s="27" t="n">
        <v>29</v>
      </c>
      <c r="B32" s="27" t="inlineStr">
        <is>
          <t>Day 4</t>
        </is>
      </c>
      <c r="C32" s="17" t="inlineStr">
        <is>
          <t>Send one short, friendly follow-up to every maybe and every no-reply.</t>
        </is>
      </c>
      <c r="D32" s="27" t="n">
        <v>3</v>
      </c>
      <c r="E32" s="28">
        <f>IF('Setup'!$B$5="","",'Setup'!$B$5+D32)</f>
        <v/>
      </c>
      <c r="F32" s="29">
        <f>IF(OR(E32="",G32="Done"),"",E32-TODAY())</f>
        <v/>
      </c>
      <c r="G32" s="27" t="n"/>
      <c r="H32" s="30" t="n"/>
      <c r="I32" s="17" t="n"/>
      <c r="J32" s="27" t="inlineStr">
        <is>
          <t>launch-countdown.d4.1</t>
        </is>
      </c>
      <c r="K32" s="29">
        <f>IF(OR(G32="Done",G32="Skipped"),"",E32)</f>
        <v/>
      </c>
    </row>
    <row r="33">
      <c r="A33" s="27" t="n">
        <v>30</v>
      </c>
      <c r="B33" s="27" t="inlineStr">
        <is>
          <t>Day 5</t>
        </is>
      </c>
      <c r="C33" s="17" t="inlineStr">
        <is>
          <t>Deliver to your first customers with extra care. Over-deliver on the first orders.</t>
        </is>
      </c>
      <c r="D33" s="27" t="n">
        <v>4</v>
      </c>
      <c r="E33" s="28">
        <f>IF('Setup'!$B$5="","",'Setup'!$B$5+D33)</f>
        <v/>
      </c>
      <c r="F33" s="29">
        <f>IF(OR(E33="",G33="Done"),"",E33-TODAY())</f>
        <v/>
      </c>
      <c r="G33" s="27" t="n"/>
      <c r="H33" s="30" t="n"/>
      <c r="I33" s="17" t="n"/>
      <c r="J33" s="27" t="inlineStr">
        <is>
          <t>launch-countdown.d5.1</t>
        </is>
      </c>
      <c r="K33" s="29">
        <f>IF(OR(G33="Done",G33="Skipped"),"",E33)</f>
        <v/>
      </c>
    </row>
    <row r="34">
      <c r="A34" s="27" t="n">
        <v>31</v>
      </c>
      <c r="B34" s="27" t="inlineStr">
        <is>
          <t>Day 6</t>
        </is>
      </c>
      <c r="C34" s="17" t="inlineStr">
        <is>
          <t>Post a real update: what happened and what you learned.</t>
        </is>
      </c>
      <c r="D34" s="27" t="n">
        <v>5</v>
      </c>
      <c r="E34" s="28">
        <f>IF('Setup'!$B$5="","",'Setup'!$B$5+D34)</f>
        <v/>
      </c>
      <c r="F34" s="29">
        <f>IF(OR(E34="",G34="Done"),"",E34-TODAY())</f>
        <v/>
      </c>
      <c r="G34" s="27" t="n"/>
      <c r="H34" s="30" t="n"/>
      <c r="I34" s="17" t="n"/>
      <c r="J34" s="27" t="inlineStr">
        <is>
          <t>launch-countdown.d6.1</t>
        </is>
      </c>
      <c r="K34" s="29">
        <f>IF(OR(G34="Done",G34="Skipped"),"",E34)</f>
        <v/>
      </c>
    </row>
    <row r="35">
      <c r="A35" s="27" t="n">
        <v>32</v>
      </c>
      <c r="B35" s="27" t="inlineStr">
        <is>
          <t>Day 6</t>
        </is>
      </c>
      <c r="C35" s="17" t="inlineStr">
        <is>
          <t>Share a customer result only with their permission.</t>
        </is>
      </c>
      <c r="D35" s="27" t="n">
        <v>5</v>
      </c>
      <c r="E35" s="28">
        <f>IF('Setup'!$B$5="","",'Setup'!$B$5+D35)</f>
        <v/>
      </c>
      <c r="F35" s="29">
        <f>IF(OR(E35="",G35="Done"),"",E35-TODAY())</f>
        <v/>
      </c>
      <c r="G35" s="27" t="n"/>
      <c r="H35" s="30" t="n"/>
      <c r="I35" s="17" t="n"/>
      <c r="J35" s="27" t="inlineStr">
        <is>
          <t>launch-countdown.d6.2</t>
        </is>
      </c>
      <c r="K35" s="29">
        <f>IF(OR(G35="Done",G35="Skipped"),"",E35)</f>
        <v/>
      </c>
    </row>
    <row r="36">
      <c r="A36" s="27" t="n">
        <v>33</v>
      </c>
      <c r="B36" s="27" t="inlineStr">
        <is>
          <t>Day 7</t>
        </is>
      </c>
      <c r="C36" s="17" t="inlineStr">
        <is>
          <t>Count messages sent, replies, sales and objections.</t>
        </is>
      </c>
      <c r="D36" s="27" t="n">
        <v>6</v>
      </c>
      <c r="E36" s="28">
        <f>IF('Setup'!$B$5="","",'Setup'!$B$5+D36)</f>
        <v/>
      </c>
      <c r="F36" s="29">
        <f>IF(OR(E36="",G36="Done"),"",E36-TODAY())</f>
        <v/>
      </c>
      <c r="G36" s="27" t="n"/>
      <c r="H36" s="30" t="n"/>
      <c r="I36" s="17" t="n"/>
      <c r="J36" s="27" t="inlineStr">
        <is>
          <t>launch-countdown.d7.1</t>
        </is>
      </c>
      <c r="K36" s="29">
        <f>IF(OR(G36="Done",G36="Skipped"),"",E36)</f>
        <v/>
      </c>
    </row>
    <row r="37">
      <c r="A37" s="27" t="n">
        <v>34</v>
      </c>
      <c r="B37" s="27" t="inlineStr">
        <is>
          <t>Day 7</t>
        </is>
      </c>
      <c r="C37" s="17" t="inlineStr">
        <is>
          <t>Write down the one thing you'll change next week.</t>
        </is>
      </c>
      <c r="D37" s="27" t="n">
        <v>6</v>
      </c>
      <c r="E37" s="28">
        <f>IF('Setup'!$B$5="","",'Setup'!$B$5+D37)</f>
        <v/>
      </c>
      <c r="F37" s="29">
        <f>IF(OR(E37="",G37="Done"),"",E37-TODAY())</f>
        <v/>
      </c>
      <c r="G37" s="27" t="n"/>
      <c r="H37" s="30" t="n"/>
      <c r="I37" s="17" t="n"/>
      <c r="J37" s="27" t="inlineStr">
        <is>
          <t>launch-countdown.d7.2</t>
        </is>
      </c>
      <c r="K37" s="29">
        <f>IF(OR(G37="Done",G37="Skipped"),"",E37)</f>
        <v/>
      </c>
    </row>
    <row r="38">
      <c r="A38" s="27" t="n">
        <v>35</v>
      </c>
      <c r="B38" s="27" t="inlineStr">
        <is>
          <t>The week after: ask, learn, decide</t>
        </is>
      </c>
      <c r="C38" s="17" t="inlineStr">
        <is>
          <t>Thank every customer within three days of delivery.</t>
        </is>
      </c>
      <c r="D38" s="27" t="n">
        <v>13</v>
      </c>
      <c r="E38" s="28">
        <f>IF('Setup'!$B$5="","",'Setup'!$B$5+D38)</f>
        <v/>
      </c>
      <c r="F38" s="29">
        <f>IF(OR(E38="",G38="Done"),"",E38-TODAY())</f>
        <v/>
      </c>
      <c r="G38" s="27" t="n"/>
      <c r="H38" s="30" t="n"/>
      <c r="I38" s="17" t="n"/>
      <c r="J38" s="27" t="inlineStr">
        <is>
          <t>launch-countdown.after.1</t>
        </is>
      </c>
      <c r="K38" s="29">
        <f>IF(OR(G38="Done",G38="Skipped"),"",E38)</f>
        <v/>
      </c>
    </row>
    <row r="39">
      <c r="A39" s="27" t="n">
        <v>36</v>
      </c>
      <c r="B39" s="27" t="inlineStr">
        <is>
          <t>The week after: ask, learn, decide</t>
        </is>
      </c>
      <c r="C39" s="17" t="inlineStr">
        <is>
          <t>Ask every customer: What almost stopped you from buying? What was the best part? What would you change?</t>
        </is>
      </c>
      <c r="D39" s="27" t="n">
        <v>13</v>
      </c>
      <c r="E39" s="28">
        <f>IF('Setup'!$B$5="","",'Setup'!$B$5+D39)</f>
        <v/>
      </c>
      <c r="F39" s="29">
        <f>IF(OR(E39="",G39="Done"),"",E39-TODAY())</f>
        <v/>
      </c>
      <c r="G39" s="27" t="n"/>
      <c r="H39" s="30" t="n"/>
      <c r="I39" s="17" t="n"/>
      <c r="J39" s="27" t="inlineStr">
        <is>
          <t>launch-countdown.after.2</t>
        </is>
      </c>
      <c r="K39" s="29">
        <f>IF(OR(G39="Done",G39="Skipped"),"",E39)</f>
        <v/>
      </c>
    </row>
    <row r="40">
      <c r="A40" s="27" t="n">
        <v>37</v>
      </c>
      <c r="B40" s="27" t="inlineStr">
        <is>
          <t>The week after: ask, learn, decide</t>
        </is>
      </c>
      <c r="C40" s="17" t="inlineStr">
        <is>
          <t>Ask happy customers if you can share their words or a photo. Use only what they approve.</t>
        </is>
      </c>
      <c r="D40" s="27" t="n">
        <v>13</v>
      </c>
      <c r="E40" s="28">
        <f>IF('Setup'!$B$5="","",'Setup'!$B$5+D40)</f>
        <v/>
      </c>
      <c r="F40" s="29">
        <f>IF(OR(E40="",G40="Done"),"",E40-TODAY())</f>
        <v/>
      </c>
      <c r="G40" s="27" t="n"/>
      <c r="H40" s="30" t="n"/>
      <c r="I40" s="17" t="n"/>
      <c r="J40" s="27" t="inlineStr">
        <is>
          <t>launch-countdown.after.3</t>
        </is>
      </c>
      <c r="K40" s="29">
        <f>IF(OR(G40="Done",G40="Skipped"),"",E40)</f>
        <v/>
      </c>
    </row>
    <row r="41">
      <c r="A41" s="27" t="n">
        <v>38</v>
      </c>
      <c r="B41" s="27" t="inlineStr">
        <is>
          <t>The week after: ask, learn, decide</t>
        </is>
      </c>
      <c r="C41" s="17" t="inlineStr">
        <is>
          <t>Ask every non-buyer: What would have made it a yes?</t>
        </is>
      </c>
      <c r="D41" s="27" t="n">
        <v>13</v>
      </c>
      <c r="E41" s="28">
        <f>IF('Setup'!$B$5="","",'Setup'!$B$5+D41)</f>
        <v/>
      </c>
      <c r="F41" s="29">
        <f>IF(OR(E41="",G41="Done"),"",E41-TODAY())</f>
        <v/>
      </c>
      <c r="G41" s="27" t="n"/>
      <c r="H41" s="30" t="n"/>
      <c r="I41" s="17" t="n"/>
      <c r="J41" s="27" t="inlineStr">
        <is>
          <t>launch-countdown.after.4</t>
        </is>
      </c>
      <c r="K41" s="29">
        <f>IF(OR(G41="Done",G41="Skipped"),"",E41)</f>
        <v/>
      </c>
    </row>
    <row r="42">
      <c r="A42" s="27" t="n">
        <v>39</v>
      </c>
      <c r="B42" s="27" t="inlineStr">
        <is>
          <t>The week after: ask, learn, decide</t>
        </is>
      </c>
      <c r="C42" s="17" t="inlineStr">
        <is>
          <t>Update your FAQ and landing page from the Objection Log.</t>
        </is>
      </c>
      <c r="D42" s="27" t="n">
        <v>13</v>
      </c>
      <c r="E42" s="28">
        <f>IF('Setup'!$B$5="","",'Setup'!$B$5+D42)</f>
        <v/>
      </c>
      <c r="F42" s="29">
        <f>IF(OR(E42="",G42="Done"),"",E42-TODAY())</f>
        <v/>
      </c>
      <c r="G42" s="27" t="n"/>
      <c r="H42" s="30" t="n"/>
      <c r="I42" s="17" t="n"/>
      <c r="J42" s="27" t="inlineStr">
        <is>
          <t>launch-countdown.after.5</t>
        </is>
      </c>
      <c r="K42" s="29">
        <f>IF(OR(G42="Done",G42="Skipped"),"",E42)</f>
        <v/>
      </c>
    </row>
    <row r="43">
      <c r="A43" s="27" t="n">
        <v>40</v>
      </c>
      <c r="B43" s="27" t="inlineStr">
        <is>
          <t>The week after: ask, learn, decide</t>
        </is>
      </c>
      <c r="C43" s="17" t="inlineStr">
        <is>
          <t>Find the message, post or person that drove the most sales, and ask why it worked.</t>
        </is>
      </c>
      <c r="D43" s="27" t="n">
        <v>13</v>
      </c>
      <c r="E43" s="28">
        <f>IF('Setup'!$B$5="","",'Setup'!$B$5+D43)</f>
        <v/>
      </c>
      <c r="F43" s="29">
        <f>IF(OR(E43="",G43="Done"),"",E43-TODAY())</f>
        <v/>
      </c>
      <c r="G43" s="27" t="n"/>
      <c r="H43" s="30" t="n"/>
      <c r="I43" s="17" t="n"/>
      <c r="J43" s="27" t="inlineStr">
        <is>
          <t>launch-countdown.after.6</t>
        </is>
      </c>
      <c r="K43" s="29">
        <f>IF(OR(G43="Done",G43="Skipped"),"",E43)</f>
        <v/>
      </c>
    </row>
    <row r="44">
      <c r="A44" s="27" t="n">
        <v>41</v>
      </c>
      <c r="B44" s="27" t="inlineStr">
        <is>
          <t>The week after: ask, learn, decide</t>
        </is>
      </c>
      <c r="C44" s="17" t="inlineStr">
        <is>
          <t>Pick one thing to do more of next week.</t>
        </is>
      </c>
      <c r="D44" s="27" t="n">
        <v>13</v>
      </c>
      <c r="E44" s="28">
        <f>IF('Setup'!$B$5="","",'Setup'!$B$5+D44)</f>
        <v/>
      </c>
      <c r="F44" s="29">
        <f>IF(OR(E44="",G44="Done"),"",E44-TODAY())</f>
        <v/>
      </c>
      <c r="G44" s="27" t="n"/>
      <c r="H44" s="30" t="n"/>
      <c r="I44" s="17" t="n"/>
      <c r="J44" s="27" t="inlineStr">
        <is>
          <t>launch-countdown.after.7</t>
        </is>
      </c>
      <c r="K44" s="29">
        <f>IF(OR(G44="Done",G44="Skipped"),"",E44)</f>
        <v/>
      </c>
    </row>
    <row r="45">
      <c r="A45" s="27" t="n">
        <v>42</v>
      </c>
      <c r="B45" s="27" t="inlineStr">
        <is>
          <t>The week after: ask, learn, decide</t>
        </is>
      </c>
      <c r="C45" s="17" t="inlineStr">
        <is>
          <t>Set up simple revenue and expense tracking, and ask a professional about taxes where you live.</t>
        </is>
      </c>
      <c r="D45" s="27" t="n">
        <v>13</v>
      </c>
      <c r="E45" s="28">
        <f>IF('Setup'!$B$5="","",'Setup'!$B$5+D45)</f>
        <v/>
      </c>
      <c r="F45" s="29">
        <f>IF(OR(E45="",G45="Done"),"",E45-TODAY())</f>
        <v/>
      </c>
      <c r="G45" s="27" t="n"/>
      <c r="H45" s="30" t="n"/>
      <c r="I45" s="17" t="n"/>
      <c r="J45" s="27" t="inlineStr">
        <is>
          <t>launch-countdown.after.8</t>
        </is>
      </c>
      <c r="K45" s="29">
        <f>IF(OR(G45="Done",G45="Skipped"),"",E45)</f>
        <v/>
      </c>
    </row>
  </sheetData>
  <autoFilter ref="A3:K45"/>
  <conditionalFormatting sqref="C4:C45 E4:E45 F4:F45">
    <cfRule type="expression" priority="1" dxfId="0" stopIfTrue="0">
      <formula>AND(ISNUMBER(F4),F4&lt;0)</formula>
    </cfRule>
    <cfRule type="expression" priority="2" dxfId="1" stopIfTrue="0">
      <formula>AND(ISNUMBER(F4),F4&gt;=0,F4&lt;=2)</formula>
    </cfRule>
  </conditionalFormatting>
  <conditionalFormatting sqref="G4:G45">
    <cfRule type="expression" priority="3" dxfId="2" stopIfTrue="0">
      <formula>G4="Done"</formula>
    </cfRule>
  </conditionalFormatting>
  <dataValidations count="1">
    <dataValidation sqref="G4:G45" showDropDown="0" showInputMessage="0" showErrorMessage="0" allowBlank="1" type="list">
      <formula1>"To do,Doing,Done,Skipped"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Launch Countdown</dc:title>
  <dcterms:created xmlns:dcterms="http://purl.org/dc/terms/" xmlns:xsi="http://www.w3.org/2001/XMLSchema-instance" xsi:type="dcterms:W3CDTF">2026-10-16T10:26:29Z</dcterms:created>
  <dcterms:modified xmlns:dcterms="http://purl.org/dc/terms/" xmlns:xsi="http://www.w3.org/2001/XMLSchema-instance" xsi:type="dcterms:W3CDTF">2026-10-16T10:26:29Z</dcterms:modified>
</cp:coreProperties>
</file>