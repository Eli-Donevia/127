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tack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'Stack'!$A$3:$K$43</definedName>
    <definedName name="_xlnm.Print_Titles" localSheetId="1">'Stack'!$3:$3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ddd, mmm d"/>
    <numFmt numFmtId="166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6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BE3DE"/>
          <bgColor rgb="00FBE3DE"/>
        </patternFill>
      </fill>
    </dxf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  <dxf>
      <font>
        <name val="Arial"/>
        <b val="1"/>
      </font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Tool Stack Audit  (filled example)</t>
        </is>
      </c>
    </row>
    <row r="4" ht="30" customHeight="1">
      <c r="B4" s="3" t="inlineStr">
        <is>
          <t>List every tool you pay for or log into, give each one job, and cut what you haven't used in two weeks, aiming for $0 to $50 a month.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List every tool you use or pay for, even free ones. Check your app store subscriptions and card statement.</t>
        </is>
      </c>
    </row>
    <row r="10" ht="16" customHeight="1">
      <c r="B10" s="5" t="inlineStr">
        <is>
          <t>2.  Give each tool its one job. Enter the monthly cost and the last day you used it.</t>
        </is>
      </c>
    </row>
    <row r="11" ht="16" customHeight="1">
      <c r="B11" s="5" t="inlineStr">
        <is>
          <t>3.  The sheet flags tools you haven't used in 14 days and jobs with two tools.</t>
        </is>
      </c>
    </row>
    <row r="12" ht="32" customHeight="1">
      <c r="B12" s="5" t="inlineStr">
        <is>
          <t>4.  Mark each one Keep, Cut or Later. Later tools need a trigger: the pain that means you need it.</t>
        </is>
      </c>
    </row>
    <row r="13" ht="16" customHeight="1">
      <c r="B13" s="5" t="inlineStr">
        <is>
          <t>5.  Open the Summary tab. Every core job should show one tool. Cancel what you cut today.</t>
        </is>
      </c>
    </row>
    <row r="14" ht="16" customHeight="1">
      <c r="B14" s="5" t="inlineStr">
        <is>
          <t>6.  Rule: don't add a new tool until a task has hurt three times.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15" customHeight="1">
      <c r="B26" s="10" t="inlineStr">
        <is>
          <t>Check current pricing on each tool's site. Plans change often.</t>
        </is>
      </c>
    </row>
    <row r="28">
      <c r="B28" s="11" t="inlineStr">
        <is>
          <t>Make today day one.  ·  127group.io</t>
        </is>
      </c>
    </row>
    <row r="29">
      <c r="B29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9" customWidth="1" min="3" max="3"/>
    <col width="10" customWidth="1" min="4" max="4"/>
    <col width="11" customWidth="1" min="5" max="5"/>
    <col width="11" customWidth="1" min="6" max="6"/>
    <col width="14" customWidth="1" min="7" max="7"/>
    <col width="11" customWidth="1" min="8" max="8"/>
    <col width="30" customWidth="1" min="9" max="9"/>
    <col width="20" customWidth="1" min="10" max="10"/>
    <col hidden="1" width="6" customWidth="1" min="11" max="11"/>
  </cols>
  <sheetData>
    <row r="1" ht="26" customHeight="1">
      <c r="A1" s="13" t="inlineStr">
        <is>
          <t>Tool Stack Audit</t>
        </is>
      </c>
    </row>
    <row r="2" ht="16" customHeight="1">
      <c r="A2" s="14" t="inlineStr">
        <is>
          <t>One tool per job. Every new tool is a new login, a new bill and a new place to lose information.</t>
        </is>
      </c>
    </row>
    <row r="3" ht="40" customHeight="1">
      <c r="A3" s="15" t="inlineStr">
        <is>
          <t>Tool</t>
        </is>
      </c>
      <c r="B3" s="15" t="inlineStr">
        <is>
          <t>Its one job</t>
        </is>
      </c>
      <c r="C3" s="15" t="inlineStr">
        <is>
          <t>Plan</t>
        </is>
      </c>
      <c r="D3" s="15" t="inlineStr">
        <is>
          <t>Monthly cost ($)</t>
        </is>
      </c>
      <c r="E3" s="15" t="inlineStr">
        <is>
          <t>Last used</t>
        </is>
      </c>
      <c r="F3" s="16" t="inlineStr">
        <is>
          <t>Used in last 14 days?</t>
        </is>
      </c>
      <c r="G3" s="16" t="inlineStr">
        <is>
          <t>Another kept tool does this job?</t>
        </is>
      </c>
      <c r="H3" s="15" t="inlineStr">
        <is>
          <t>Keep, cut or later</t>
        </is>
      </c>
      <c r="I3" s="15" t="inlineStr">
        <is>
          <t>If later: the pain that means you need it</t>
        </is>
      </c>
      <c r="J3" s="15" t="inlineStr">
        <is>
          <t>Notes</t>
        </is>
      </c>
      <c r="K3" s="16" t="inlineStr">
        <is>
          <t>lookup</t>
        </is>
      </c>
    </row>
    <row r="4">
      <c r="A4" s="17" t="inlineStr">
        <is>
          <t>Square</t>
        </is>
      </c>
      <c r="B4" s="17" t="inlineStr">
        <is>
          <t>Payments</t>
        </is>
      </c>
      <c r="C4" s="17" t="inlineStr">
        <is>
          <t>Free</t>
        </is>
      </c>
      <c r="D4" s="18" t="n">
        <v>0</v>
      </c>
      <c r="E4" s="19">
        <f>DATE(2026,11,8)</f>
        <v/>
      </c>
      <c r="F4" s="20">
        <f>IF(A4="","",IF(ISNUMBER(E4),IF(TODAY()-E4&lt;=14,"Yes","No"),"Not sure"))</f>
        <v/>
      </c>
      <c r="G4" s="20">
        <f>IF(OR(A4="",H4="Cut"),"",IF(COUNTIFS($B$4:$B$43,B4,$H$4:$H$43,"Keep")&gt;1,"Yes: keep one",""))</f>
        <v/>
      </c>
      <c r="H4" s="17" t="inlineStr">
        <is>
          <t>Keep</t>
        </is>
      </c>
      <c r="I4" s="21" t="n"/>
      <c r="J4" s="17" t="inlineStr">
        <is>
          <t>Card reader for pop-ups</t>
        </is>
      </c>
      <c r="K4" s="20">
        <f>B4&amp;"|"&amp;H4</f>
        <v/>
      </c>
    </row>
    <row r="5">
      <c r="A5" s="17" t="inlineStr">
        <is>
          <t>Google Sheets</t>
        </is>
      </c>
      <c r="B5" s="17" t="inlineStr">
        <is>
          <t>Customer tracking</t>
        </is>
      </c>
      <c r="C5" s="17" t="inlineStr">
        <is>
          <t>Free</t>
        </is>
      </c>
      <c r="D5" s="18" t="n">
        <v>0</v>
      </c>
      <c r="E5" s="19">
        <f>DATE(2026,11,9)</f>
        <v/>
      </c>
      <c r="F5" s="20">
        <f>IF(A5="","",IF(ISNUMBER(E5),IF(TODAY()-E5&lt;=14,"Yes","No"),"Not sure"))</f>
        <v/>
      </c>
      <c r="G5" s="20">
        <f>IF(OR(A5="",H5="Cut"),"",IF(COUNTIFS($B$4:$B$43,B5,$H$4:$H$43,"Keep")&gt;1,"Yes: keep one",""))</f>
        <v/>
      </c>
      <c r="H5" s="17" t="inlineStr">
        <is>
          <t>Keep</t>
        </is>
      </c>
      <c r="I5" s="21" t="n"/>
      <c r="J5" s="17" t="inlineStr">
        <is>
          <t>Pipeline Tracker lives here</t>
        </is>
      </c>
      <c r="K5" s="20">
        <f>B5&amp;"|"&amp;H5</f>
        <v/>
      </c>
    </row>
    <row r="6">
      <c r="A6" s="17" t="inlineStr">
        <is>
          <t>Attio</t>
        </is>
      </c>
      <c r="B6" s="17" t="inlineStr">
        <is>
          <t>Customer tracking</t>
        </is>
      </c>
      <c r="C6" s="17" t="inlineStr">
        <is>
          <t>Free</t>
        </is>
      </c>
      <c r="D6" s="18" t="n">
        <v>0</v>
      </c>
      <c r="E6" s="19">
        <f>DATE(2026,10,12)</f>
        <v/>
      </c>
      <c r="F6" s="20">
        <f>IF(A6="","",IF(ISNUMBER(E6),IF(TODAY()-E6&lt;=14,"Yes","No"),"Not sure"))</f>
        <v/>
      </c>
      <c r="G6" s="20">
        <f>IF(OR(A6="",H6="Cut"),"",IF(COUNTIFS($B$4:$B$43,B6,$H$4:$H$43,"Keep")&gt;1,"Yes: keep one",""))</f>
        <v/>
      </c>
      <c r="H6" s="17" t="inlineStr">
        <is>
          <t>Later</t>
        </is>
      </c>
      <c r="I6" s="21" t="inlineStr">
        <is>
          <t>More than 40 open conversations, or a lead lost 3 times</t>
        </is>
      </c>
      <c r="J6" s="17" t="n"/>
      <c r="K6" s="20">
        <f>B6&amp;"|"&amp;H6</f>
        <v/>
      </c>
    </row>
    <row r="7">
      <c r="A7" s="17" t="inlineStr">
        <is>
          <t>Granola</t>
        </is>
      </c>
      <c r="B7" s="17" t="inlineStr">
        <is>
          <t>Meeting notes</t>
        </is>
      </c>
      <c r="C7" s="17" t="inlineStr">
        <is>
          <t>Free</t>
        </is>
      </c>
      <c r="D7" s="18" t="n">
        <v>0</v>
      </c>
      <c r="E7" s="19">
        <f>DATE(2026,11,6)</f>
        <v/>
      </c>
      <c r="F7" s="20">
        <f>IF(A7="","",IF(ISNUMBER(E7),IF(TODAY()-E7&lt;=14,"Yes","No"),"Not sure"))</f>
        <v/>
      </c>
      <c r="G7" s="20">
        <f>IF(OR(A7="",H7="Cut"),"",IF(COUNTIFS($B$4:$B$43,B7,$H$4:$H$43,"Keep")&gt;1,"Yes: keep one",""))</f>
        <v/>
      </c>
      <c r="H7" s="17" t="inlineStr">
        <is>
          <t>Keep</t>
        </is>
      </c>
      <c r="I7" s="21" t="n"/>
      <c r="J7" s="17" t="n"/>
      <c r="K7" s="20">
        <f>B7&amp;"|"&amp;H7</f>
        <v/>
      </c>
    </row>
    <row r="8">
      <c r="A8" s="17" t="inlineStr">
        <is>
          <t>Notion</t>
        </is>
      </c>
      <c r="B8" s="17" t="inlineStr">
        <is>
          <t>Docs and planning</t>
        </is>
      </c>
      <c r="C8" s="17" t="inlineStr">
        <is>
          <t>Free</t>
        </is>
      </c>
      <c r="D8" s="18" t="n">
        <v>0</v>
      </c>
      <c r="E8" s="19">
        <f>DATE(2026,11,9)</f>
        <v/>
      </c>
      <c r="F8" s="20">
        <f>IF(A8="","",IF(ISNUMBER(E8),IF(TODAY()-E8&lt;=14,"Yes","No"),"Not sure"))</f>
        <v/>
      </c>
      <c r="G8" s="20">
        <f>IF(OR(A8="",H8="Cut"),"",IF(COUNTIFS($B$4:$B$43,B8,$H$4:$H$43,"Keep")&gt;1,"Yes: keep one",""))</f>
        <v/>
      </c>
      <c r="H8" s="17" t="inlineStr">
        <is>
          <t>Keep</t>
        </is>
      </c>
      <c r="I8" s="21" t="n"/>
      <c r="J8" s="17" t="inlineStr">
        <is>
          <t>HQ page</t>
        </is>
      </c>
      <c r="K8" s="20">
        <f>B8&amp;"|"&amp;H8</f>
        <v/>
      </c>
    </row>
    <row r="9">
      <c r="A9" s="17" t="inlineStr">
        <is>
          <t>Gmail</t>
        </is>
      </c>
      <c r="B9" s="17" t="inlineStr">
        <is>
          <t>Email</t>
        </is>
      </c>
      <c r="C9" s="17" t="inlineStr">
        <is>
          <t>Free</t>
        </is>
      </c>
      <c r="D9" s="18" t="n">
        <v>0</v>
      </c>
      <c r="E9" s="19">
        <f>DATE(2026,11,9)</f>
        <v/>
      </c>
      <c r="F9" s="20">
        <f>IF(A9="","",IF(ISNUMBER(E9),IF(TODAY()-E9&lt;=14,"Yes","No"),"Not sure"))</f>
        <v/>
      </c>
      <c r="G9" s="20">
        <f>IF(OR(A9="",H9="Cut"),"",IF(COUNTIFS($B$4:$B$43,B9,$H$4:$H$43,"Keep")&gt;1,"Yes: keep one",""))</f>
        <v/>
      </c>
      <c r="H9" s="17" t="inlineStr">
        <is>
          <t>Keep</t>
        </is>
      </c>
      <c r="I9" s="21" t="n"/>
      <c r="J9" s="17" t="n"/>
      <c r="K9" s="20">
        <f>B9&amp;"|"&amp;H9</f>
        <v/>
      </c>
    </row>
    <row r="10">
      <c r="A10" s="17" t="inlineStr">
        <is>
          <t>Calendly</t>
        </is>
      </c>
      <c r="B10" s="17" t="inlineStr">
        <is>
          <t>Booking</t>
        </is>
      </c>
      <c r="C10" s="17" t="inlineStr">
        <is>
          <t>Free</t>
        </is>
      </c>
      <c r="D10" s="18" t="n">
        <v>0</v>
      </c>
      <c r="E10" s="19">
        <f>DATE(2026,11,7)</f>
        <v/>
      </c>
      <c r="F10" s="20">
        <f>IF(A10="","",IF(ISNUMBER(E10),IF(TODAY()-E10&lt;=14,"Yes","No"),"Not sure"))</f>
        <v/>
      </c>
      <c r="G10" s="20">
        <f>IF(OR(A10="",H10="Cut"),"",IF(COUNTIFS($B$4:$B$43,B10,$H$4:$H$43,"Keep")&gt;1,"Yes: keep one",""))</f>
        <v/>
      </c>
      <c r="H10" s="17" t="inlineStr">
        <is>
          <t>Keep</t>
        </is>
      </c>
      <c r="I10" s="21" t="n"/>
      <c r="J10" s="17" t="n"/>
      <c r="K10" s="20">
        <f>B10&amp;"|"&amp;H10</f>
        <v/>
      </c>
    </row>
    <row r="11">
      <c r="A11" s="17" t="inlineStr">
        <is>
          <t>CapCut</t>
        </is>
      </c>
      <c r="B11" s="17" t="inlineStr">
        <is>
          <t>Content editing</t>
        </is>
      </c>
      <c r="C11" s="17" t="inlineStr">
        <is>
          <t>Free</t>
        </is>
      </c>
      <c r="D11" s="18" t="n">
        <v>0</v>
      </c>
      <c r="E11" s="19">
        <f>DATE(2026,11,8)</f>
        <v/>
      </c>
      <c r="F11" s="20">
        <f>IF(A11="","",IF(ISNUMBER(E11),IF(TODAY()-E11&lt;=14,"Yes","No"),"Not sure"))</f>
        <v/>
      </c>
      <c r="G11" s="20">
        <f>IF(OR(A11="",H11="Cut"),"",IF(COUNTIFS($B$4:$B$43,B11,$H$4:$H$43,"Keep")&gt;1,"Yes: keep one",""))</f>
        <v/>
      </c>
      <c r="H11" s="17" t="inlineStr">
        <is>
          <t>Keep</t>
        </is>
      </c>
      <c r="I11" s="21" t="n"/>
      <c r="J11" s="17" t="n"/>
      <c r="K11" s="20">
        <f>B11&amp;"|"&amp;H11</f>
        <v/>
      </c>
    </row>
    <row r="12">
      <c r="A12" s="17" t="inlineStr">
        <is>
          <t>Design app (paid plan)</t>
        </is>
      </c>
      <c r="B12" s="17" t="inlineStr">
        <is>
          <t>Design</t>
        </is>
      </c>
      <c r="C12" s="17" t="inlineStr">
        <is>
          <t>Paid</t>
        </is>
      </c>
      <c r="D12" s="18" t="n">
        <v>12</v>
      </c>
      <c r="E12" s="19">
        <f>DATE(2026,9,20)</f>
        <v/>
      </c>
      <c r="F12" s="20">
        <f>IF(A12="","",IF(ISNUMBER(E12),IF(TODAY()-E12&lt;=14,"Yes","No"),"Not sure"))</f>
        <v/>
      </c>
      <c r="G12" s="20">
        <f>IF(OR(A12="",H12="Cut"),"",IF(COUNTIFS($B$4:$B$43,B12,$H$4:$H$43,"Keep")&gt;1,"Yes: keep one",""))</f>
        <v/>
      </c>
      <c r="H12" s="17" t="inlineStr">
        <is>
          <t>Cut</t>
        </is>
      </c>
      <c r="I12" s="21" t="n"/>
      <c r="J12" s="17" t="inlineStr">
        <is>
          <t>Used once for the logo</t>
        </is>
      </c>
      <c r="K12" s="20">
        <f>B12&amp;"|"&amp;H12</f>
        <v/>
      </c>
    </row>
    <row r="13">
      <c r="A13" s="17" t="inlineStr">
        <is>
          <t>Second website builder</t>
        </is>
      </c>
      <c r="B13" s="17" t="inlineStr">
        <is>
          <t>Online store</t>
        </is>
      </c>
      <c r="C13" s="17" t="inlineStr">
        <is>
          <t>Paid</t>
        </is>
      </c>
      <c r="D13" s="18" t="n">
        <v>10</v>
      </c>
      <c r="E13" s="19">
        <f>DATE(2026,9,28)</f>
        <v/>
      </c>
      <c r="F13" s="20">
        <f>IF(A13="","",IF(ISNUMBER(E13),IF(TODAY()-E13&lt;=14,"Yes","No"),"Not sure"))</f>
        <v/>
      </c>
      <c r="G13" s="20">
        <f>IF(OR(A13="",H13="Cut"),"",IF(COUNTIFS($B$4:$B$43,B13,$H$4:$H$43,"Keep")&gt;1,"Yes: keep one",""))</f>
        <v/>
      </c>
      <c r="H13" s="17" t="inlineStr">
        <is>
          <t>Cut</t>
        </is>
      </c>
      <c r="I13" s="21" t="n"/>
      <c r="J13" s="17" t="inlineStr">
        <is>
          <t>Page lives on the other builder now</t>
        </is>
      </c>
      <c r="K13" s="20">
        <f>B13&amp;"|"&amp;H13</f>
        <v/>
      </c>
    </row>
    <row r="14">
      <c r="A14" s="17" t="inlineStr">
        <is>
          <t>ManyChat</t>
        </is>
      </c>
      <c r="B14" s="17" t="inlineStr">
        <is>
          <t>Automation</t>
        </is>
      </c>
      <c r="C14" s="17" t="inlineStr">
        <is>
          <t>Free</t>
        </is>
      </c>
      <c r="D14" s="18" t="n">
        <v>0</v>
      </c>
      <c r="E14" s="19">
        <f>DATE(2026,10,30)</f>
        <v/>
      </c>
      <c r="F14" s="20">
        <f>IF(A14="","",IF(ISNUMBER(E14),IF(TODAY()-E14&lt;=14,"Yes","No"),"Not sure"))</f>
        <v/>
      </c>
      <c r="G14" s="20">
        <f>IF(OR(A14="",H14="Cut"),"",IF(COUNTIFS($B$4:$B$43,B14,$H$4:$H$43,"Keep")&gt;1,"Yes: keep one",""))</f>
        <v/>
      </c>
      <c r="H14" s="17" t="inlineStr">
        <is>
          <t>Later</t>
        </is>
      </c>
      <c r="I14" s="21" t="inlineStr">
        <is>
          <t>Same DM question 5+ times a day</t>
        </is>
      </c>
      <c r="J14" s="17" t="n"/>
      <c r="K14" s="20">
        <f>B14&amp;"|"&amp;H14</f>
        <v/>
      </c>
    </row>
    <row r="15">
      <c r="A15" s="17" t="inlineStr">
        <is>
          <t>Claude</t>
        </is>
      </c>
      <c r="B15" s="17" t="inlineStr">
        <is>
          <t>AI assistant</t>
        </is>
      </c>
      <c r="C15" s="17" t="inlineStr">
        <is>
          <t>Free</t>
        </is>
      </c>
      <c r="D15" s="18" t="n">
        <v>0</v>
      </c>
      <c r="E15" s="19">
        <f>DATE(2026,11,9)</f>
        <v/>
      </c>
      <c r="F15" s="20">
        <f>IF(A15="","",IF(ISNUMBER(E15),IF(TODAY()-E15&lt;=14,"Yes","No"),"Not sure"))</f>
        <v/>
      </c>
      <c r="G15" s="20">
        <f>IF(OR(A15="",H15="Cut"),"",IF(COUNTIFS($B$4:$B$43,B15,$H$4:$H$43,"Keep")&gt;1,"Yes: keep one",""))</f>
        <v/>
      </c>
      <c r="H15" s="17" t="inlineStr">
        <is>
          <t>Keep</t>
        </is>
      </c>
      <c r="I15" s="21" t="n"/>
      <c r="J15" s="17" t="n"/>
      <c r="K15" s="20">
        <f>B15&amp;"|"&amp;H15</f>
        <v/>
      </c>
    </row>
    <row r="16">
      <c r="A16" s="17" t="n"/>
      <c r="B16" s="17" t="n"/>
      <c r="C16" s="17" t="n"/>
      <c r="D16" s="18" t="n"/>
      <c r="E16" s="19" t="n"/>
      <c r="F16" s="20">
        <f>IF(A16="","",IF(ISNUMBER(E16),IF(TODAY()-E16&lt;=14,"Yes","No"),"Not sure"))</f>
        <v/>
      </c>
      <c r="G16" s="20">
        <f>IF(OR(A16="",H16="Cut"),"",IF(COUNTIFS($B$4:$B$43,B16,$H$4:$H$43,"Keep")&gt;1,"Yes: keep one",""))</f>
        <v/>
      </c>
      <c r="H16" s="17" t="n"/>
      <c r="I16" s="21" t="n"/>
      <c r="J16" s="17" t="n"/>
      <c r="K16" s="20">
        <f>B16&amp;"|"&amp;H16</f>
        <v/>
      </c>
    </row>
    <row r="17">
      <c r="A17" s="17" t="n"/>
      <c r="B17" s="17" t="n"/>
      <c r="C17" s="17" t="n"/>
      <c r="D17" s="18" t="n"/>
      <c r="E17" s="19" t="n"/>
      <c r="F17" s="20">
        <f>IF(A17="","",IF(ISNUMBER(E17),IF(TODAY()-E17&lt;=14,"Yes","No"),"Not sure"))</f>
        <v/>
      </c>
      <c r="G17" s="20">
        <f>IF(OR(A17="",H17="Cut"),"",IF(COUNTIFS($B$4:$B$43,B17,$H$4:$H$43,"Keep")&gt;1,"Yes: keep one",""))</f>
        <v/>
      </c>
      <c r="H17" s="17" t="n"/>
      <c r="I17" s="21" t="n"/>
      <c r="J17" s="17" t="n"/>
      <c r="K17" s="20">
        <f>B17&amp;"|"&amp;H17</f>
        <v/>
      </c>
    </row>
    <row r="18">
      <c r="A18" s="17" t="n"/>
      <c r="B18" s="17" t="n"/>
      <c r="C18" s="17" t="n"/>
      <c r="D18" s="18" t="n"/>
      <c r="E18" s="19" t="n"/>
      <c r="F18" s="20">
        <f>IF(A18="","",IF(ISNUMBER(E18),IF(TODAY()-E18&lt;=14,"Yes","No"),"Not sure"))</f>
        <v/>
      </c>
      <c r="G18" s="20">
        <f>IF(OR(A18="",H18="Cut"),"",IF(COUNTIFS($B$4:$B$43,B18,$H$4:$H$43,"Keep")&gt;1,"Yes: keep one",""))</f>
        <v/>
      </c>
      <c r="H18" s="17" t="n"/>
      <c r="I18" s="21" t="n"/>
      <c r="J18" s="17" t="n"/>
      <c r="K18" s="20">
        <f>B18&amp;"|"&amp;H18</f>
        <v/>
      </c>
    </row>
    <row r="19">
      <c r="A19" s="17" t="n"/>
      <c r="B19" s="17" t="n"/>
      <c r="C19" s="17" t="n"/>
      <c r="D19" s="18" t="n"/>
      <c r="E19" s="19" t="n"/>
      <c r="F19" s="20">
        <f>IF(A19="","",IF(ISNUMBER(E19),IF(TODAY()-E19&lt;=14,"Yes","No"),"Not sure"))</f>
        <v/>
      </c>
      <c r="G19" s="20">
        <f>IF(OR(A19="",H19="Cut"),"",IF(COUNTIFS($B$4:$B$43,B19,$H$4:$H$43,"Keep")&gt;1,"Yes: keep one",""))</f>
        <v/>
      </c>
      <c r="H19" s="17" t="n"/>
      <c r="I19" s="21" t="n"/>
      <c r="J19" s="17" t="n"/>
      <c r="K19" s="20">
        <f>B19&amp;"|"&amp;H19</f>
        <v/>
      </c>
    </row>
    <row r="20">
      <c r="A20" s="17" t="n"/>
      <c r="B20" s="17" t="n"/>
      <c r="C20" s="17" t="n"/>
      <c r="D20" s="18" t="n"/>
      <c r="E20" s="19" t="n"/>
      <c r="F20" s="20">
        <f>IF(A20="","",IF(ISNUMBER(E20),IF(TODAY()-E20&lt;=14,"Yes","No"),"Not sure"))</f>
        <v/>
      </c>
      <c r="G20" s="20">
        <f>IF(OR(A20="",H20="Cut"),"",IF(COUNTIFS($B$4:$B$43,B20,$H$4:$H$43,"Keep")&gt;1,"Yes: keep one",""))</f>
        <v/>
      </c>
      <c r="H20" s="17" t="n"/>
      <c r="I20" s="21" t="n"/>
      <c r="J20" s="17" t="n"/>
      <c r="K20" s="20">
        <f>B20&amp;"|"&amp;H20</f>
        <v/>
      </c>
    </row>
    <row r="21">
      <c r="A21" s="17" t="n"/>
      <c r="B21" s="17" t="n"/>
      <c r="C21" s="17" t="n"/>
      <c r="D21" s="18" t="n"/>
      <c r="E21" s="19" t="n"/>
      <c r="F21" s="20">
        <f>IF(A21="","",IF(ISNUMBER(E21),IF(TODAY()-E21&lt;=14,"Yes","No"),"Not sure"))</f>
        <v/>
      </c>
      <c r="G21" s="20">
        <f>IF(OR(A21="",H21="Cut"),"",IF(COUNTIFS($B$4:$B$43,B21,$H$4:$H$43,"Keep")&gt;1,"Yes: keep one",""))</f>
        <v/>
      </c>
      <c r="H21" s="17" t="n"/>
      <c r="I21" s="21" t="n"/>
      <c r="J21" s="17" t="n"/>
      <c r="K21" s="20">
        <f>B21&amp;"|"&amp;H21</f>
        <v/>
      </c>
    </row>
    <row r="22">
      <c r="A22" s="17" t="n"/>
      <c r="B22" s="17" t="n"/>
      <c r="C22" s="17" t="n"/>
      <c r="D22" s="18" t="n"/>
      <c r="E22" s="19" t="n"/>
      <c r="F22" s="20">
        <f>IF(A22="","",IF(ISNUMBER(E22),IF(TODAY()-E22&lt;=14,"Yes","No"),"Not sure"))</f>
        <v/>
      </c>
      <c r="G22" s="20">
        <f>IF(OR(A22="",H22="Cut"),"",IF(COUNTIFS($B$4:$B$43,B22,$H$4:$H$43,"Keep")&gt;1,"Yes: keep one",""))</f>
        <v/>
      </c>
      <c r="H22" s="17" t="n"/>
      <c r="I22" s="21" t="n"/>
      <c r="J22" s="17" t="n"/>
      <c r="K22" s="20">
        <f>B22&amp;"|"&amp;H22</f>
        <v/>
      </c>
    </row>
    <row r="23">
      <c r="A23" s="17" t="n"/>
      <c r="B23" s="17" t="n"/>
      <c r="C23" s="17" t="n"/>
      <c r="D23" s="18" t="n"/>
      <c r="E23" s="19" t="n"/>
      <c r="F23" s="20">
        <f>IF(A23="","",IF(ISNUMBER(E23),IF(TODAY()-E23&lt;=14,"Yes","No"),"Not sure"))</f>
        <v/>
      </c>
      <c r="G23" s="20">
        <f>IF(OR(A23="",H23="Cut"),"",IF(COUNTIFS($B$4:$B$43,B23,$H$4:$H$43,"Keep")&gt;1,"Yes: keep one",""))</f>
        <v/>
      </c>
      <c r="H23" s="17" t="n"/>
      <c r="I23" s="21" t="n"/>
      <c r="J23" s="17" t="n"/>
      <c r="K23" s="20">
        <f>B23&amp;"|"&amp;H23</f>
        <v/>
      </c>
    </row>
    <row r="24">
      <c r="A24" s="17" t="n"/>
      <c r="B24" s="17" t="n"/>
      <c r="C24" s="17" t="n"/>
      <c r="D24" s="18" t="n"/>
      <c r="E24" s="19" t="n"/>
      <c r="F24" s="20">
        <f>IF(A24="","",IF(ISNUMBER(E24),IF(TODAY()-E24&lt;=14,"Yes","No"),"Not sure"))</f>
        <v/>
      </c>
      <c r="G24" s="20">
        <f>IF(OR(A24="",H24="Cut"),"",IF(COUNTIFS($B$4:$B$43,B24,$H$4:$H$43,"Keep")&gt;1,"Yes: keep one",""))</f>
        <v/>
      </c>
      <c r="H24" s="17" t="n"/>
      <c r="I24" s="21" t="n"/>
      <c r="J24" s="17" t="n"/>
      <c r="K24" s="20">
        <f>B24&amp;"|"&amp;H24</f>
        <v/>
      </c>
    </row>
    <row r="25">
      <c r="A25" s="17" t="n"/>
      <c r="B25" s="17" t="n"/>
      <c r="C25" s="17" t="n"/>
      <c r="D25" s="18" t="n"/>
      <c r="E25" s="19" t="n"/>
      <c r="F25" s="20">
        <f>IF(A25="","",IF(ISNUMBER(E25),IF(TODAY()-E25&lt;=14,"Yes","No"),"Not sure"))</f>
        <v/>
      </c>
      <c r="G25" s="20">
        <f>IF(OR(A25="",H25="Cut"),"",IF(COUNTIFS($B$4:$B$43,B25,$H$4:$H$43,"Keep")&gt;1,"Yes: keep one",""))</f>
        <v/>
      </c>
      <c r="H25" s="17" t="n"/>
      <c r="I25" s="21" t="n"/>
      <c r="J25" s="17" t="n"/>
      <c r="K25" s="20">
        <f>B25&amp;"|"&amp;H25</f>
        <v/>
      </c>
    </row>
    <row r="26">
      <c r="A26" s="17" t="n"/>
      <c r="B26" s="17" t="n"/>
      <c r="C26" s="17" t="n"/>
      <c r="D26" s="18" t="n"/>
      <c r="E26" s="19" t="n"/>
      <c r="F26" s="20">
        <f>IF(A26="","",IF(ISNUMBER(E26),IF(TODAY()-E26&lt;=14,"Yes","No"),"Not sure"))</f>
        <v/>
      </c>
      <c r="G26" s="20">
        <f>IF(OR(A26="",H26="Cut"),"",IF(COUNTIFS($B$4:$B$43,B26,$H$4:$H$43,"Keep")&gt;1,"Yes: keep one",""))</f>
        <v/>
      </c>
      <c r="H26" s="17" t="n"/>
      <c r="I26" s="21" t="n"/>
      <c r="J26" s="17" t="n"/>
      <c r="K26" s="20">
        <f>B26&amp;"|"&amp;H26</f>
        <v/>
      </c>
    </row>
    <row r="27">
      <c r="A27" s="17" t="n"/>
      <c r="B27" s="17" t="n"/>
      <c r="C27" s="17" t="n"/>
      <c r="D27" s="18" t="n"/>
      <c r="E27" s="19" t="n"/>
      <c r="F27" s="20">
        <f>IF(A27="","",IF(ISNUMBER(E27),IF(TODAY()-E27&lt;=14,"Yes","No"),"Not sure"))</f>
        <v/>
      </c>
      <c r="G27" s="20">
        <f>IF(OR(A27="",H27="Cut"),"",IF(COUNTIFS($B$4:$B$43,B27,$H$4:$H$43,"Keep")&gt;1,"Yes: keep one",""))</f>
        <v/>
      </c>
      <c r="H27" s="17" t="n"/>
      <c r="I27" s="21" t="n"/>
      <c r="J27" s="17" t="n"/>
      <c r="K27" s="20">
        <f>B27&amp;"|"&amp;H27</f>
        <v/>
      </c>
    </row>
    <row r="28">
      <c r="A28" s="17" t="n"/>
      <c r="B28" s="17" t="n"/>
      <c r="C28" s="17" t="n"/>
      <c r="D28" s="18" t="n"/>
      <c r="E28" s="19" t="n"/>
      <c r="F28" s="20">
        <f>IF(A28="","",IF(ISNUMBER(E28),IF(TODAY()-E28&lt;=14,"Yes","No"),"Not sure"))</f>
        <v/>
      </c>
      <c r="G28" s="20">
        <f>IF(OR(A28="",H28="Cut"),"",IF(COUNTIFS($B$4:$B$43,B28,$H$4:$H$43,"Keep")&gt;1,"Yes: keep one",""))</f>
        <v/>
      </c>
      <c r="H28" s="17" t="n"/>
      <c r="I28" s="21" t="n"/>
      <c r="J28" s="17" t="n"/>
      <c r="K28" s="20">
        <f>B28&amp;"|"&amp;H28</f>
        <v/>
      </c>
    </row>
    <row r="29">
      <c r="A29" s="17" t="n"/>
      <c r="B29" s="17" t="n"/>
      <c r="C29" s="17" t="n"/>
      <c r="D29" s="18" t="n"/>
      <c r="E29" s="19" t="n"/>
      <c r="F29" s="20">
        <f>IF(A29="","",IF(ISNUMBER(E29),IF(TODAY()-E29&lt;=14,"Yes","No"),"Not sure"))</f>
        <v/>
      </c>
      <c r="G29" s="20">
        <f>IF(OR(A29="",H29="Cut"),"",IF(COUNTIFS($B$4:$B$43,B29,$H$4:$H$43,"Keep")&gt;1,"Yes: keep one",""))</f>
        <v/>
      </c>
      <c r="H29" s="17" t="n"/>
      <c r="I29" s="21" t="n"/>
      <c r="J29" s="17" t="n"/>
      <c r="K29" s="20">
        <f>B29&amp;"|"&amp;H29</f>
        <v/>
      </c>
    </row>
    <row r="30">
      <c r="A30" s="17" t="n"/>
      <c r="B30" s="17" t="n"/>
      <c r="C30" s="17" t="n"/>
      <c r="D30" s="18" t="n"/>
      <c r="E30" s="19" t="n"/>
      <c r="F30" s="20">
        <f>IF(A30="","",IF(ISNUMBER(E30),IF(TODAY()-E30&lt;=14,"Yes","No"),"Not sure"))</f>
        <v/>
      </c>
      <c r="G30" s="20">
        <f>IF(OR(A30="",H30="Cut"),"",IF(COUNTIFS($B$4:$B$43,B30,$H$4:$H$43,"Keep")&gt;1,"Yes: keep one",""))</f>
        <v/>
      </c>
      <c r="H30" s="17" t="n"/>
      <c r="I30" s="21" t="n"/>
      <c r="J30" s="17" t="n"/>
      <c r="K30" s="20">
        <f>B30&amp;"|"&amp;H30</f>
        <v/>
      </c>
    </row>
    <row r="31">
      <c r="A31" s="17" t="n"/>
      <c r="B31" s="17" t="n"/>
      <c r="C31" s="17" t="n"/>
      <c r="D31" s="18" t="n"/>
      <c r="E31" s="19" t="n"/>
      <c r="F31" s="20">
        <f>IF(A31="","",IF(ISNUMBER(E31),IF(TODAY()-E31&lt;=14,"Yes","No"),"Not sure"))</f>
        <v/>
      </c>
      <c r="G31" s="20">
        <f>IF(OR(A31="",H31="Cut"),"",IF(COUNTIFS($B$4:$B$43,B31,$H$4:$H$43,"Keep")&gt;1,"Yes: keep one",""))</f>
        <v/>
      </c>
      <c r="H31" s="17" t="n"/>
      <c r="I31" s="21" t="n"/>
      <c r="J31" s="17" t="n"/>
      <c r="K31" s="20">
        <f>B31&amp;"|"&amp;H31</f>
        <v/>
      </c>
    </row>
    <row r="32">
      <c r="A32" s="17" t="n"/>
      <c r="B32" s="17" t="n"/>
      <c r="C32" s="17" t="n"/>
      <c r="D32" s="18" t="n"/>
      <c r="E32" s="19" t="n"/>
      <c r="F32" s="20">
        <f>IF(A32="","",IF(ISNUMBER(E32),IF(TODAY()-E32&lt;=14,"Yes","No"),"Not sure"))</f>
        <v/>
      </c>
      <c r="G32" s="20">
        <f>IF(OR(A32="",H32="Cut"),"",IF(COUNTIFS($B$4:$B$43,B32,$H$4:$H$43,"Keep")&gt;1,"Yes: keep one",""))</f>
        <v/>
      </c>
      <c r="H32" s="17" t="n"/>
      <c r="I32" s="21" t="n"/>
      <c r="J32" s="17" t="n"/>
      <c r="K32" s="20">
        <f>B32&amp;"|"&amp;H32</f>
        <v/>
      </c>
    </row>
    <row r="33">
      <c r="A33" s="17" t="n"/>
      <c r="B33" s="17" t="n"/>
      <c r="C33" s="17" t="n"/>
      <c r="D33" s="18" t="n"/>
      <c r="E33" s="19" t="n"/>
      <c r="F33" s="20">
        <f>IF(A33="","",IF(ISNUMBER(E33),IF(TODAY()-E33&lt;=14,"Yes","No"),"Not sure"))</f>
        <v/>
      </c>
      <c r="G33" s="20">
        <f>IF(OR(A33="",H33="Cut"),"",IF(COUNTIFS($B$4:$B$43,B33,$H$4:$H$43,"Keep")&gt;1,"Yes: keep one",""))</f>
        <v/>
      </c>
      <c r="H33" s="17" t="n"/>
      <c r="I33" s="21" t="n"/>
      <c r="J33" s="17" t="n"/>
      <c r="K33" s="20">
        <f>B33&amp;"|"&amp;H33</f>
        <v/>
      </c>
    </row>
    <row r="34">
      <c r="A34" s="17" t="n"/>
      <c r="B34" s="17" t="n"/>
      <c r="C34" s="17" t="n"/>
      <c r="D34" s="18" t="n"/>
      <c r="E34" s="19" t="n"/>
      <c r="F34" s="20">
        <f>IF(A34="","",IF(ISNUMBER(E34),IF(TODAY()-E34&lt;=14,"Yes","No"),"Not sure"))</f>
        <v/>
      </c>
      <c r="G34" s="20">
        <f>IF(OR(A34="",H34="Cut"),"",IF(COUNTIFS($B$4:$B$43,B34,$H$4:$H$43,"Keep")&gt;1,"Yes: keep one",""))</f>
        <v/>
      </c>
      <c r="H34" s="17" t="n"/>
      <c r="I34" s="21" t="n"/>
      <c r="J34" s="17" t="n"/>
      <c r="K34" s="20">
        <f>B34&amp;"|"&amp;H34</f>
        <v/>
      </c>
    </row>
    <row r="35">
      <c r="A35" s="17" t="n"/>
      <c r="B35" s="17" t="n"/>
      <c r="C35" s="17" t="n"/>
      <c r="D35" s="18" t="n"/>
      <c r="E35" s="19" t="n"/>
      <c r="F35" s="20">
        <f>IF(A35="","",IF(ISNUMBER(E35),IF(TODAY()-E35&lt;=14,"Yes","No"),"Not sure"))</f>
        <v/>
      </c>
      <c r="G35" s="20">
        <f>IF(OR(A35="",H35="Cut"),"",IF(COUNTIFS($B$4:$B$43,B35,$H$4:$H$43,"Keep")&gt;1,"Yes: keep one",""))</f>
        <v/>
      </c>
      <c r="H35" s="17" t="n"/>
      <c r="I35" s="21" t="n"/>
      <c r="J35" s="17" t="n"/>
      <c r="K35" s="20">
        <f>B35&amp;"|"&amp;H35</f>
        <v/>
      </c>
    </row>
    <row r="36">
      <c r="A36" s="17" t="n"/>
      <c r="B36" s="17" t="n"/>
      <c r="C36" s="17" t="n"/>
      <c r="D36" s="18" t="n"/>
      <c r="E36" s="19" t="n"/>
      <c r="F36" s="20">
        <f>IF(A36="","",IF(ISNUMBER(E36),IF(TODAY()-E36&lt;=14,"Yes","No"),"Not sure"))</f>
        <v/>
      </c>
      <c r="G36" s="20">
        <f>IF(OR(A36="",H36="Cut"),"",IF(COUNTIFS($B$4:$B$43,B36,$H$4:$H$43,"Keep")&gt;1,"Yes: keep one",""))</f>
        <v/>
      </c>
      <c r="H36" s="17" t="n"/>
      <c r="I36" s="21" t="n"/>
      <c r="J36" s="17" t="n"/>
      <c r="K36" s="20">
        <f>B36&amp;"|"&amp;H36</f>
        <v/>
      </c>
    </row>
    <row r="37">
      <c r="A37" s="17" t="n"/>
      <c r="B37" s="17" t="n"/>
      <c r="C37" s="17" t="n"/>
      <c r="D37" s="18" t="n"/>
      <c r="E37" s="19" t="n"/>
      <c r="F37" s="20">
        <f>IF(A37="","",IF(ISNUMBER(E37),IF(TODAY()-E37&lt;=14,"Yes","No"),"Not sure"))</f>
        <v/>
      </c>
      <c r="G37" s="20">
        <f>IF(OR(A37="",H37="Cut"),"",IF(COUNTIFS($B$4:$B$43,B37,$H$4:$H$43,"Keep")&gt;1,"Yes: keep one",""))</f>
        <v/>
      </c>
      <c r="H37" s="17" t="n"/>
      <c r="I37" s="21" t="n"/>
      <c r="J37" s="17" t="n"/>
      <c r="K37" s="20">
        <f>B37&amp;"|"&amp;H37</f>
        <v/>
      </c>
    </row>
    <row r="38">
      <c r="A38" s="17" t="n"/>
      <c r="B38" s="17" t="n"/>
      <c r="C38" s="17" t="n"/>
      <c r="D38" s="18" t="n"/>
      <c r="E38" s="19" t="n"/>
      <c r="F38" s="20">
        <f>IF(A38="","",IF(ISNUMBER(E38),IF(TODAY()-E38&lt;=14,"Yes","No"),"Not sure"))</f>
        <v/>
      </c>
      <c r="G38" s="20">
        <f>IF(OR(A38="",H38="Cut"),"",IF(COUNTIFS($B$4:$B$43,B38,$H$4:$H$43,"Keep")&gt;1,"Yes: keep one",""))</f>
        <v/>
      </c>
      <c r="H38" s="17" t="n"/>
      <c r="I38" s="21" t="n"/>
      <c r="J38" s="17" t="n"/>
      <c r="K38" s="20">
        <f>B38&amp;"|"&amp;H38</f>
        <v/>
      </c>
    </row>
    <row r="39">
      <c r="A39" s="17" t="n"/>
      <c r="B39" s="17" t="n"/>
      <c r="C39" s="17" t="n"/>
      <c r="D39" s="18" t="n"/>
      <c r="E39" s="19" t="n"/>
      <c r="F39" s="20">
        <f>IF(A39="","",IF(ISNUMBER(E39),IF(TODAY()-E39&lt;=14,"Yes","No"),"Not sure"))</f>
        <v/>
      </c>
      <c r="G39" s="20">
        <f>IF(OR(A39="",H39="Cut"),"",IF(COUNTIFS($B$4:$B$43,B39,$H$4:$H$43,"Keep")&gt;1,"Yes: keep one",""))</f>
        <v/>
      </c>
      <c r="H39" s="17" t="n"/>
      <c r="I39" s="21" t="n"/>
      <c r="J39" s="17" t="n"/>
      <c r="K39" s="20">
        <f>B39&amp;"|"&amp;H39</f>
        <v/>
      </c>
    </row>
    <row r="40">
      <c r="A40" s="17" t="n"/>
      <c r="B40" s="17" t="n"/>
      <c r="C40" s="17" t="n"/>
      <c r="D40" s="18" t="n"/>
      <c r="E40" s="19" t="n"/>
      <c r="F40" s="20">
        <f>IF(A40="","",IF(ISNUMBER(E40),IF(TODAY()-E40&lt;=14,"Yes","No"),"Not sure"))</f>
        <v/>
      </c>
      <c r="G40" s="20">
        <f>IF(OR(A40="",H40="Cut"),"",IF(COUNTIFS($B$4:$B$43,B40,$H$4:$H$43,"Keep")&gt;1,"Yes: keep one",""))</f>
        <v/>
      </c>
      <c r="H40" s="17" t="n"/>
      <c r="I40" s="21" t="n"/>
      <c r="J40" s="17" t="n"/>
      <c r="K40" s="20">
        <f>B40&amp;"|"&amp;H40</f>
        <v/>
      </c>
    </row>
    <row r="41">
      <c r="A41" s="17" t="n"/>
      <c r="B41" s="17" t="n"/>
      <c r="C41" s="17" t="n"/>
      <c r="D41" s="18" t="n"/>
      <c r="E41" s="19" t="n"/>
      <c r="F41" s="20">
        <f>IF(A41="","",IF(ISNUMBER(E41),IF(TODAY()-E41&lt;=14,"Yes","No"),"Not sure"))</f>
        <v/>
      </c>
      <c r="G41" s="20">
        <f>IF(OR(A41="",H41="Cut"),"",IF(COUNTIFS($B$4:$B$43,B41,$H$4:$H$43,"Keep")&gt;1,"Yes: keep one",""))</f>
        <v/>
      </c>
      <c r="H41" s="17" t="n"/>
      <c r="I41" s="21" t="n"/>
      <c r="J41" s="17" t="n"/>
      <c r="K41" s="20">
        <f>B41&amp;"|"&amp;H41</f>
        <v/>
      </c>
    </row>
    <row r="42">
      <c r="A42" s="17" t="n"/>
      <c r="B42" s="17" t="n"/>
      <c r="C42" s="17" t="n"/>
      <c r="D42" s="18" t="n"/>
      <c r="E42" s="19" t="n"/>
      <c r="F42" s="20">
        <f>IF(A42="","",IF(ISNUMBER(E42),IF(TODAY()-E42&lt;=14,"Yes","No"),"Not sure"))</f>
        <v/>
      </c>
      <c r="G42" s="20">
        <f>IF(OR(A42="",H42="Cut"),"",IF(COUNTIFS($B$4:$B$43,B42,$H$4:$H$43,"Keep")&gt;1,"Yes: keep one",""))</f>
        <v/>
      </c>
      <c r="H42" s="17" t="n"/>
      <c r="I42" s="21" t="n"/>
      <c r="J42" s="17" t="n"/>
      <c r="K42" s="20">
        <f>B42&amp;"|"&amp;H42</f>
        <v/>
      </c>
    </row>
    <row r="43">
      <c r="A43" s="17" t="n"/>
      <c r="B43" s="17" t="n"/>
      <c r="C43" s="17" t="n"/>
      <c r="D43" s="18" t="n"/>
      <c r="E43" s="19" t="n"/>
      <c r="F43" s="20">
        <f>IF(A43="","",IF(ISNUMBER(E43),IF(TODAY()-E43&lt;=14,"Yes","No"),"Not sure"))</f>
        <v/>
      </c>
      <c r="G43" s="20">
        <f>IF(OR(A43="",H43="Cut"),"",IF(COUNTIFS($B$4:$B$43,B43,$H$4:$H$43,"Keep")&gt;1,"Yes: keep one",""))</f>
        <v/>
      </c>
      <c r="H43" s="17" t="n"/>
      <c r="I43" s="21" t="n"/>
      <c r="J43" s="17" t="n"/>
      <c r="K43" s="20">
        <f>B43&amp;"|"&amp;H43</f>
        <v/>
      </c>
    </row>
  </sheetData>
  <autoFilter ref="A3:K43"/>
  <conditionalFormatting sqref="F4:F43">
    <cfRule type="expression" priority="1" dxfId="0" stopIfTrue="0">
      <formula>F4="No"</formula>
    </cfRule>
  </conditionalFormatting>
  <conditionalFormatting sqref="G4:G43">
    <cfRule type="expression" priority="2" dxfId="1" stopIfTrue="0">
      <formula>LEFT(G4,3)="Yes"</formula>
    </cfRule>
  </conditionalFormatting>
  <conditionalFormatting sqref="H4:H43">
    <cfRule type="expression" priority="3" dxfId="2" stopIfTrue="0">
      <formula>H4="Keep"</formula>
    </cfRule>
    <cfRule type="expression" priority="4" dxfId="3" stopIfTrue="0">
      <formula>H4="Cut"</formula>
    </cfRule>
  </conditionalFormatting>
  <dataValidations count="3">
    <dataValidation sqref="B4:B43" showDropDown="0" showInputMessage="0" showErrorMessage="0" allowBlank="1" type="list">
      <formula1>"Payments,Customer tracking,Meeting notes,Docs and planning,Email,Booking,Content editing,Online store,AI assistant,Research,Automation,Design,Other"</formula1>
    </dataValidation>
    <dataValidation sqref="C4:C43" showDropDown="0" showInputMessage="0" showErrorMessage="0" allowBlank="1" type="list">
      <formula1>"Free,Paid,Trial"</formula1>
    </dataValidation>
    <dataValidation sqref="H4:H43" showDropDown="0" showInputMessage="0" showErrorMessage="0" allowBlank="1" type="list">
      <formula1>"Keep,Cut,Later"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0" customWidth="1" min="3" max="3"/>
  </cols>
  <sheetData>
    <row r="1" ht="26" customHeight="1">
      <c r="A1" s="13" t="inlineStr">
        <is>
          <t>Your stack, written down</t>
        </is>
      </c>
    </row>
    <row r="2">
      <c r="A2" s="14" t="inlineStr">
        <is>
          <t>Six jobs, one tool each, $0 to $50 a month to start.</t>
        </is>
      </c>
    </row>
    <row r="4">
      <c r="A4" s="1" t="inlineStr">
        <is>
          <t>THE SIX JOBS</t>
        </is>
      </c>
      <c r="B4" s="1" t="inlineStr">
        <is>
          <t>Your tool</t>
        </is>
      </c>
      <c r="C4" s="1" t="inlineStr">
        <is>
          <t>Status</t>
        </is>
      </c>
    </row>
    <row r="5">
      <c r="A5" s="22" t="inlineStr">
        <is>
          <t>Payments</t>
        </is>
      </c>
      <c r="B5" s="23">
        <f>IFERROR(INDEX('Stack'!$A$4:$A$43,MATCH("Payments|Keep",'Stack'!$K$4:$K$43,0)),"")</f>
        <v/>
      </c>
      <c r="C5" s="23">
        <f>IF(COUNTIFS('Stack'!$B$4:$B$43,"Payments",'Stack'!$H$4:$H$43,"Keep")=0,"Pick one",IF(COUNTIFS('Stack'!$B$4:$B$43,"Payments",'Stack'!$H$4:$H$43,"Keep")&gt;1,"Two tools: keep one","Covered"))</f>
        <v/>
      </c>
    </row>
    <row r="6">
      <c r="A6" s="22" t="inlineStr">
        <is>
          <t>Customer tracking</t>
        </is>
      </c>
      <c r="B6" s="23">
        <f>IFERROR(INDEX('Stack'!$A$4:$A$43,MATCH("Customer tracking|Keep",'Stack'!$K$4:$K$43,0)),"")</f>
        <v/>
      </c>
      <c r="C6" s="23">
        <f>IF(COUNTIFS('Stack'!$B$4:$B$43,"Customer tracking",'Stack'!$H$4:$H$43,"Keep")=0,"Pick one",IF(COUNTIFS('Stack'!$B$4:$B$43,"Customer tracking",'Stack'!$H$4:$H$43,"Keep")&gt;1,"Two tools: keep one","Covered"))</f>
        <v/>
      </c>
    </row>
    <row r="7">
      <c r="A7" s="22" t="inlineStr">
        <is>
          <t>Meeting notes</t>
        </is>
      </c>
      <c r="B7" s="23">
        <f>IFERROR(INDEX('Stack'!$A$4:$A$43,MATCH("Meeting notes|Keep",'Stack'!$K$4:$K$43,0)),"")</f>
        <v/>
      </c>
      <c r="C7" s="23">
        <f>IF(COUNTIFS('Stack'!$B$4:$B$43,"Meeting notes",'Stack'!$H$4:$H$43,"Keep")=0,"Pick one",IF(COUNTIFS('Stack'!$B$4:$B$43,"Meeting notes",'Stack'!$H$4:$H$43,"Keep")&gt;1,"Two tools: keep one","Covered"))</f>
        <v/>
      </c>
    </row>
    <row r="8">
      <c r="A8" s="22" t="inlineStr">
        <is>
          <t>Docs and planning</t>
        </is>
      </c>
      <c r="B8" s="23">
        <f>IFERROR(INDEX('Stack'!$A$4:$A$43,MATCH("Docs and planning|Keep",'Stack'!$K$4:$K$43,0)),"")</f>
        <v/>
      </c>
      <c r="C8" s="23">
        <f>IF(COUNTIFS('Stack'!$B$4:$B$43,"Docs and planning",'Stack'!$H$4:$H$43,"Keep")=0,"Pick one",IF(COUNTIFS('Stack'!$B$4:$B$43,"Docs and planning",'Stack'!$H$4:$H$43,"Keep")&gt;1,"Two tools: keep one","Covered"))</f>
        <v/>
      </c>
    </row>
    <row r="9">
      <c r="A9" s="22" t="inlineStr">
        <is>
          <t>Email</t>
        </is>
      </c>
      <c r="B9" s="23">
        <f>IFERROR(INDEX('Stack'!$A$4:$A$43,MATCH("Email|Keep",'Stack'!$K$4:$K$43,0)),"")</f>
        <v/>
      </c>
      <c r="C9" s="23">
        <f>IF(COUNTIFS('Stack'!$B$4:$B$43,"Email",'Stack'!$H$4:$H$43,"Keep")=0,"Pick one",IF(COUNTIFS('Stack'!$B$4:$B$43,"Email",'Stack'!$H$4:$H$43,"Keep")&gt;1,"Two tools: keep one","Covered"))</f>
        <v/>
      </c>
    </row>
    <row r="10">
      <c r="A10" s="22" t="inlineStr">
        <is>
          <t>Booking</t>
        </is>
      </c>
      <c r="B10" s="23">
        <f>IFERROR(INDEX('Stack'!$A$4:$A$43,MATCH("Booking|Keep",'Stack'!$K$4:$K$43,0)),"")</f>
        <v/>
      </c>
      <c r="C10" s="23">
        <f>IF(COUNTIFS('Stack'!$B$4:$B$43,"Booking",'Stack'!$H$4:$H$43,"Keep")=0,"Pick one",IF(COUNTIFS('Stack'!$B$4:$B$43,"Booking",'Stack'!$H$4:$H$43,"Keep")&gt;1,"Two tools: keep one","Covered"))</f>
        <v/>
      </c>
    </row>
    <row r="12">
      <c r="A12" s="1" t="inlineStr">
        <is>
          <t>WHAT IT COSTS</t>
        </is>
      </c>
    </row>
    <row r="13">
      <c r="A13" s="24" t="inlineStr">
        <is>
          <t>Monthly cost of tools you keep ($)</t>
        </is>
      </c>
      <c r="B13" s="25">
        <f>SUMIF('Stack'!$H$4:$H$43,"Keep",'Stack'!$D$4:$D$43)</f>
        <v/>
      </c>
    </row>
    <row r="14">
      <c r="A14" s="22" t="inlineStr">
        <is>
          <t>Monthly savings from what you cut ($)</t>
        </is>
      </c>
      <c r="B14" s="26">
        <f>SUMIF('Stack'!$H$4:$H$43,"Cut",'Stack'!$D$4:$D$43)</f>
        <v/>
      </c>
    </row>
    <row r="15">
      <c r="A15" s="22" t="inlineStr">
        <is>
          <t>Savings over a year ($)</t>
        </is>
      </c>
      <c r="B15" s="27">
        <f>$B$14*12</f>
        <v/>
      </c>
    </row>
    <row r="16">
      <c r="A16" s="22" t="inlineStr">
        <is>
          <t>Tools not used in 14 days</t>
        </is>
      </c>
      <c r="B16" s="28">
        <f>COUNTIF('Stack'!$F$4:$F$43,"No")</f>
        <v/>
      </c>
    </row>
    <row r="17" ht="30" customHeight="1">
      <c r="A17" s="24" t="inlineStr">
        <is>
          <t>Check</t>
        </is>
      </c>
      <c r="B17" s="29">
        <f>IF($B$13&lt;=50,"On target: $0 to $50 a month.","Over $50 a month. Cut something or wait until a task has hurt three times.")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Tool Stack Audit</dc:title>
  <dcterms:created xmlns:dcterms="http://purl.org/dc/terms/" xmlns:xsi="http://www.w3.org/2001/XMLSchema-instance" xsi:type="dcterms:W3CDTF">2026-10-16T10:26:27Z</dcterms:created>
  <dcterms:modified xmlns:dcterms="http://purl.org/dc/terms/" xmlns:xsi="http://www.w3.org/2001/XMLSchema-instance" xsi:type="dcterms:W3CDTF">2026-10-16T10:26:27Z</dcterms:modified>
</cp:coreProperties>
</file>