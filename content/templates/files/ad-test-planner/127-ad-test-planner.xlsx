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Daily log" sheetId="3" state="visible" r:id="rId3"/>
    <sheet xmlns:r="http://schemas.openxmlformats.org/officeDocument/2006/relationships" name="Results" sheetId="4" state="visible" r:id="rId4"/>
  </sheets>
  <definedNames>
    <definedName name="_xlnm._FilterDatabase" localSheetId="2" hidden="1">'Daily log'!$A$3:$N$33</definedName>
    <definedName name="_xlnm.Print_Titles" localSheetId="2">'Daily log'!$3:$3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#,##0.0"/>
    <numFmt numFmtId="168" formatCode="ddd, mmm d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  <border>
      <left style="thin">
        <color rgb="003A3A44"/>
      </left>
      <right style="thin">
        <color rgb="003A3A44"/>
      </right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 wrapText="1"/>
    </xf>
    <xf numFmtId="3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6" fontId="5" fillId="2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7" fontId="5" fillId="3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168" fontId="5" fillId="2" borderId="1" applyAlignment="1" pivotButton="0" quotePrefix="0" xfId="0">
      <alignment vertical="top"/>
    </xf>
    <xf numFmtId="165" fontId="5" fillId="2" borderId="1" applyAlignment="1" pivotButton="0" quotePrefix="0" xfId="0">
      <alignment vertical="top"/>
    </xf>
    <xf numFmtId="3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5" fontId="13" fillId="3" borderId="1" applyAlignment="1" pivotButton="0" quotePrefix="0" xfId="0">
      <alignment vertical="top"/>
    </xf>
    <xf numFmtId="166" fontId="13" fillId="3" borderId="1" applyAlignment="1" pivotButton="0" quotePrefix="0" xfId="0">
      <alignment vertical="top"/>
    </xf>
    <xf numFmtId="3" fontId="13" fillId="3" borderId="1" applyAlignment="1" pivotButton="0" quotePrefix="0" xfId="0">
      <alignment vertical="top"/>
    </xf>
    <xf numFmtId="166" fontId="5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127</author>
  </authors>
  <commentList>
    <comment ref="A17" authorId="0" shapeId="0">
      <text>
        <t>Use what you saw from your warm list, then expect cold traffic to convert lower.</t>
      </text>
    </comment>
    <comment ref="A19" authorId="0" shapeId="0">
      <text>
        <t>From your First-Sale Math sheet. Leave blank to use the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Ad Test Planner</t>
        </is>
      </c>
    </row>
    <row r="4" ht="30" customHeight="1">
      <c r="B4" s="3" t="inlineStr">
        <is>
          <t>Plan a small, capped paid test, write your stop rule before you spend a dollar, then log each day so the sheet tells you when to stop.</t>
        </is>
      </c>
    </row>
    <row r="6">
      <c r="B6" s="1" t="inlineStr">
        <is>
          <t>HOW TO USE IT</t>
        </is>
      </c>
    </row>
    <row r="7" ht="32" customHeight="1">
      <c r="B7" s="4" t="inlineStr">
        <is>
          <t>1.  Answer the five readiness checks in Plan. Fewer than three yes? Skip paid for now and go back to outreach and content.</t>
        </is>
      </c>
    </row>
    <row r="8" ht="16" customHeight="1">
      <c r="B8" s="4" t="inlineStr">
        <is>
          <t>2.  Enter the most you can lose without stress. That's your cap, for one test, not per month.</t>
        </is>
      </c>
    </row>
    <row r="9" ht="16" customHeight="1">
      <c r="B9" s="4" t="inlineStr">
        <is>
          <t>3.  Enter a cautious guess for cost per click, your page's conversion rate and your price.</t>
        </is>
      </c>
    </row>
    <row r="10" ht="32" customHeight="1">
      <c r="B10" s="4" t="inlineStr">
        <is>
          <t>4.  Read the expected visitors, sales and cost per sale. Write your stop rule before you launch the ad.</t>
        </is>
      </c>
    </row>
    <row r="11" ht="16" customHeight="1">
      <c r="B11" s="4" t="inlineStr">
        <is>
          <t>5.  Each day of the test, log spend, clicks, visits and sales in Daily log.</t>
        </is>
      </c>
    </row>
    <row r="12" ht="32" customHeight="1">
      <c r="B12" s="4" t="inlineStr">
        <is>
          <t>6.  When the sheet says stop, stop. Change one thing only, then run the next test with the same cap.</t>
        </is>
      </c>
    </row>
    <row r="14">
      <c r="B14" s="1" t="inlineStr">
        <is>
          <t>CELL COLORS</t>
        </is>
      </c>
    </row>
    <row r="15">
      <c r="B15" s="5" t="inlineStr">
        <is>
          <t>White cells: you type here.</t>
        </is>
      </c>
    </row>
    <row r="16">
      <c r="B16" s="6" t="inlineStr">
        <is>
          <t>Grey cells: calculated for you. Leave them alone.</t>
        </is>
      </c>
    </row>
    <row r="17">
      <c r="B17" s="7" t="inlineStr">
        <is>
          <t>Lilac cells: the answer you came for.</t>
        </is>
      </c>
    </row>
    <row r="19">
      <c r="B19" s="1" t="inlineStr">
        <is>
          <t>OPEN IT ANYWHERE</t>
        </is>
      </c>
    </row>
    <row r="20" ht="30" customHeight="1">
      <c r="B20" s="8" t="inlineStr">
        <is>
          <t>Google Sheets: go to sheets.new, then File &gt; Import &gt; Upload this file &gt; Replace spreadsheet. Formulas and dropdowns come with it.</t>
        </is>
      </c>
    </row>
    <row r="21" ht="15" customHeight="1">
      <c r="B21" s="8" t="inlineStr">
        <is>
          <t>Excel: double-click the file. Numbers on a Mac: open it with Numbers.</t>
        </is>
      </c>
    </row>
    <row r="22" ht="15" customHeight="1">
      <c r="B22" s="8" t="inlineStr">
        <is>
          <t>Phone: upload it to Google Drive, then open it in the Google Sheets app.</t>
        </is>
      </c>
    </row>
    <row r="24" ht="30" customHeight="1">
      <c r="B24" s="9" t="inlineStr">
        <is>
          <t>Never put ad spend on a credit card you can't pay off in full. This is a planning tool, not financial advice. Only spend what you can afford to lose.</t>
        </is>
      </c>
    </row>
    <row r="26" ht="15" customHeight="1">
      <c r="B26" s="9" t="inlineStr">
        <is>
          <t>Example numbers in the filled copy are made up, not benchmarks.</t>
        </is>
      </c>
    </row>
    <row r="28">
      <c r="B28" s="10" t="inlineStr">
        <is>
          <t>Make today day one.  ·  127group.io</t>
        </is>
      </c>
    </row>
    <row r="29">
      <c r="B29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60" customWidth="1" min="2" max="2"/>
  </cols>
  <sheetData>
    <row r="1" ht="26" customHeight="1">
      <c r="A1" s="12" t="inlineStr">
        <is>
          <t>Plan your test</t>
        </is>
      </c>
    </row>
    <row r="2">
      <c r="A2" s="13" t="inlineStr">
        <is>
          <t>Decide what stop and go mean before you spend anything.</t>
        </is>
      </c>
    </row>
    <row r="4">
      <c r="A4" s="1" t="inlineStr">
        <is>
          <t>READY FOR PAID? (ORGANIC BEFORE PAID)</t>
        </is>
      </c>
    </row>
    <row r="5">
      <c r="A5" s="14" t="inlineStr">
        <is>
          <t>You have had at least 10 customer conversations</t>
        </is>
      </c>
      <c r="B5" s="15" t="n"/>
    </row>
    <row r="6">
      <c r="A6" s="14" t="inlineStr">
        <is>
          <t>Warm-list visitors bought or signed up on your page</t>
        </is>
      </c>
      <c r="B6" s="15" t="n"/>
    </row>
    <row r="7">
      <c r="A7" s="14" t="inlineStr">
        <is>
          <t>Your page answers your top three objections</t>
        </is>
      </c>
      <c r="B7" s="15" t="n"/>
    </row>
    <row r="8">
      <c r="A8" s="14" t="inlineStr">
        <is>
          <t>You know which post or message gets the best response</t>
        </is>
      </c>
      <c r="B8" s="15" t="n"/>
    </row>
    <row r="9">
      <c r="A9" s="14" t="inlineStr">
        <is>
          <t>You can lose the whole test budget without stress</t>
        </is>
      </c>
      <c r="B9" s="15" t="n"/>
    </row>
    <row r="10">
      <c r="A10" s="16" t="inlineStr">
        <is>
          <t>Readiness</t>
        </is>
      </c>
      <c r="B10" s="17">
        <f>IF(COUNTIF($B$5:$B$9,"Yes")&gt;=4,"Ready to test",IF(COUNTIF($B$5:$B$9,"Yes")&gt;=3,"Almost. Fix the no first if you can.","Skip paid for now. Outreach and content teach you more for free."))</f>
        <v/>
      </c>
    </row>
    <row r="12">
      <c r="A12" s="1" t="inlineStr">
        <is>
          <t>THE TEST</t>
        </is>
      </c>
    </row>
    <row r="13">
      <c r="A13" s="14" t="inlineStr">
        <is>
          <t>Where you will run it</t>
        </is>
      </c>
      <c r="B13" s="15" t="n"/>
    </row>
    <row r="14">
      <c r="A14" s="14" t="inlineStr">
        <is>
          <t>Test cap: the most you can lose ($)</t>
        </is>
      </c>
      <c r="B14" s="18" t="n"/>
    </row>
    <row r="15">
      <c r="A15" s="14" t="inlineStr">
        <is>
          <t>Days the test runs</t>
        </is>
      </c>
      <c r="B15" s="19" t="n"/>
    </row>
    <row r="16">
      <c r="A16" s="14" t="inlineStr">
        <is>
          <t>Expected cost per click ($, a cautious guess)</t>
        </is>
      </c>
      <c r="B16" s="20" t="n"/>
    </row>
    <row r="17">
      <c r="A17" s="14" t="inlineStr">
        <is>
          <t>Landing page conversion rate (type 2% if 2 of every 100 visitors buy)</t>
        </is>
      </c>
      <c r="B17" s="21" t="n"/>
    </row>
    <row r="18">
      <c r="A18" s="14" t="inlineStr">
        <is>
          <t>Price of one sale ($)</t>
        </is>
      </c>
      <c r="B18" s="18" t="n"/>
    </row>
    <row r="19">
      <c r="A19" s="14" t="inlineStr">
        <is>
          <t>Profit from one sale after costs ($)</t>
        </is>
      </c>
      <c r="B19" s="18" t="n"/>
    </row>
    <row r="21">
      <c r="A21" s="1" t="inlineStr">
        <is>
          <t>WHAT TO EXPECT</t>
        </is>
      </c>
    </row>
    <row r="22">
      <c r="A22" s="14" t="inlineStr">
        <is>
          <t>Daily budget ($)</t>
        </is>
      </c>
      <c r="B22" s="22">
        <f>IF(OR($B$14="",N($B$15)=0),"",$B$14/$B$15)</f>
        <v/>
      </c>
    </row>
    <row r="23">
      <c r="A23" s="14" t="inlineStr">
        <is>
          <t>Expected visitors</t>
        </is>
      </c>
      <c r="B23" s="23">
        <f>IF(OR($B$14="",N($B$16)=0),"",ROUND($B$14/$B$16,0))</f>
        <v/>
      </c>
    </row>
    <row r="24">
      <c r="A24" s="14" t="inlineStr">
        <is>
          <t>Expected sales</t>
        </is>
      </c>
      <c r="B24" s="24">
        <f>IF(OR($B$23="",$B$17=""),"",$B$23*$B$17)</f>
        <v/>
      </c>
    </row>
    <row r="25">
      <c r="A25" s="16" t="inlineStr">
        <is>
          <t>Expected cost per sale ($)</t>
        </is>
      </c>
      <c r="B25" s="25">
        <f>IF(OR($B$24="",N($B$24)=0),"",$B$14/$B$24)</f>
        <v/>
      </c>
    </row>
    <row r="26">
      <c r="A26" s="14" t="inlineStr">
        <is>
          <t>What one sale earns you ($)</t>
        </is>
      </c>
      <c r="B26" s="22">
        <f>IF($B$19&lt;&gt;"",$B$19,IF($B$18="","",$B$18))</f>
        <v/>
      </c>
    </row>
    <row r="27" ht="30" customHeight="1">
      <c r="A27" s="16" t="inlineStr">
        <is>
          <t>Worth running?</t>
        </is>
      </c>
      <c r="B27" s="17">
        <f>IF($B$25="","",IF($B$25&lt;$B$26,"Expected cost per sale is under what a sale earns. Worth testing.","Each sale would cost more than it earns. Fix the page or offer first."))</f>
        <v/>
      </c>
    </row>
    <row r="29">
      <c r="A29" s="1" t="inlineStr">
        <is>
          <t>YOUR RULES (WRITE THEM BEFORE YOU LAUNCH)</t>
        </is>
      </c>
    </row>
    <row r="30" ht="30" customHeight="1">
      <c r="A30" s="16" t="inlineStr">
        <is>
          <t>Stop rule (the two-sales rule)</t>
        </is>
      </c>
      <c r="B30" s="17">
        <f>IF($B$18="","","Pause if you spend "&amp;TEXT(2*$B$18,"$#,##0")&amp;" with zero sales, or hit your "&amp;TEXT(N($B$14),"$#,##0")&amp;" cap with cost per sale above what a sale earns.")</f>
        <v/>
      </c>
    </row>
    <row r="31" ht="30" customHeight="1">
      <c r="A31" s="14" t="inlineStr">
        <is>
          <t>What result would make you double down?</t>
        </is>
      </c>
      <c r="B31" s="15" t="n"/>
    </row>
    <row r="32" ht="30" customHeight="1">
      <c r="A32" s="14" t="inlineStr">
        <is>
          <t>If it fails, the one thing you will change first</t>
        </is>
      </c>
      <c r="B32" s="15" t="n"/>
    </row>
  </sheetData>
  <dataValidations count="6">
    <dataValidation sqref="B5" showDropDown="0" showInputMessage="0" showErrorMessage="0" allowBlank="1" type="list">
      <formula1>"Yes,No"</formula1>
    </dataValidation>
    <dataValidation sqref="B6" showDropDown="0" showInputMessage="0" showErrorMessage="0" allowBlank="1" type="list">
      <formula1>"Yes,No"</formula1>
    </dataValidation>
    <dataValidation sqref="B7" showDropDown="0" showInputMessage="0" showErrorMessage="0" allowBlank="1" type="list">
      <formula1>"Yes,No"</formula1>
    </dataValidation>
    <dataValidation sqref="B8" showDropDown="0" showInputMessage="0" showErrorMessage="0" allowBlank="1" type="list">
      <formula1>"Yes,No"</formula1>
    </dataValidation>
    <dataValidation sqref="B9" showDropDown="0" showInputMessage="0" showErrorMessage="0" allowBlank="1" type="list">
      <formula1>"Yes,No"</formula1>
    </dataValidation>
    <dataValidation sqref="B13" showDropDown="0" showInputMessage="0" showErrorMessage="0" allowBlank="1" type="list">
      <formula1>"Instagram / Facebook,TikTok,Google Search,YouTube,Other"</formula1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7" customWidth="1" min="6" max="6"/>
    <col width="9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30" customWidth="1" min="13" max="13"/>
    <col width="28" customWidth="1" min="14" max="14"/>
  </cols>
  <sheetData>
    <row r="1" ht="26" customHeight="1">
      <c r="A1" s="12" t="inlineStr">
        <is>
          <t>Daily log</t>
        </is>
      </c>
    </row>
    <row r="2" ht="16" customHeight="1">
      <c r="A2" s="13" t="inlineStr">
        <is>
          <t>Log once a day. The last column checks your stop rule for you.</t>
        </is>
      </c>
    </row>
    <row r="3" ht="40" customHeight="1">
      <c r="A3" s="26" t="inlineStr">
        <is>
          <t>Date</t>
        </is>
      </c>
      <c r="B3" s="26" t="inlineStr">
        <is>
          <t>Spend ($)</t>
        </is>
      </c>
      <c r="C3" s="26" t="inlineStr">
        <is>
          <t>Impressions</t>
        </is>
      </c>
      <c r="D3" s="26" t="inlineStr">
        <is>
          <t>Clicks</t>
        </is>
      </c>
      <c r="E3" s="26" t="inlineStr">
        <is>
          <t>Page visits</t>
        </is>
      </c>
      <c r="F3" s="26" t="inlineStr">
        <is>
          <t>Sales</t>
        </is>
      </c>
      <c r="G3" s="26" t="inlineStr">
        <is>
          <t>Revenue ($)</t>
        </is>
      </c>
      <c r="H3" s="27" t="inlineStr">
        <is>
          <t>Cost per click</t>
        </is>
      </c>
      <c r="I3" s="27" t="inlineStr">
        <is>
          <t>Click rate</t>
        </is>
      </c>
      <c r="J3" s="27" t="inlineStr">
        <is>
          <t>Spend so far</t>
        </is>
      </c>
      <c r="K3" s="27" t="inlineStr">
        <is>
          <t>Sales so far</t>
        </is>
      </c>
      <c r="L3" s="27" t="inlineStr">
        <is>
          <t>Cost per sale so far</t>
        </is>
      </c>
      <c r="M3" s="27" t="inlineStr">
        <is>
          <t>Stop rule check</t>
        </is>
      </c>
      <c r="N3" s="26" t="inlineStr">
        <is>
          <t>What you changed or noticed</t>
        </is>
      </c>
    </row>
    <row r="4">
      <c r="A4" s="28" t="n"/>
      <c r="B4" s="29" t="n"/>
      <c r="C4" s="30" t="n"/>
      <c r="D4" s="30" t="n"/>
      <c r="E4" s="30" t="n"/>
      <c r="F4" s="30" t="n"/>
      <c r="G4" s="31" t="n"/>
      <c r="H4" s="32">
        <f>IF(OR(B4="",N(D4)=0),"",B4/D4)</f>
        <v/>
      </c>
      <c r="I4" s="33">
        <f>IF(OR(D4="",N(C4)=0),"",D4/C4)</f>
        <v/>
      </c>
      <c r="J4" s="32">
        <f>IF(B4="","",SUM(B$4:B4))</f>
        <v/>
      </c>
      <c r="K4" s="34">
        <f>IF(B4="","",SUM(F$4:F4))</f>
        <v/>
      </c>
      <c r="L4" s="32">
        <f>IF(OR(J4="",N(K4)=0),"",J4/K4)</f>
        <v/>
      </c>
      <c r="M4" s="17">
        <f>IF(B4="","",IF(AND(J4&gt;=2*N('Plan'!$B$18),N(K4)=0,N('Plan'!$B$18)&gt;0),"STOP: two sales worth spent, zero sales",IF(AND(N('Plan'!$B$14)&gt;0,J4&gt;=N('Plan'!$B$14)),IF(AND(N(K4)&gt;0,L4&lt;N('Plan'!$B$26)),"Cap reached. It worked: confirm with a second test","Cap reached. Stop and review"),IF(AND(N(K4)&gt;0,L4&lt;N('Plan'!$B$26)),"On track","Keep going, watch the numbers"))))</f>
        <v/>
      </c>
      <c r="N4" s="15" t="n"/>
    </row>
    <row r="5">
      <c r="A5" s="28" t="n"/>
      <c r="B5" s="29" t="n"/>
      <c r="C5" s="30" t="n"/>
      <c r="D5" s="30" t="n"/>
      <c r="E5" s="30" t="n"/>
      <c r="F5" s="30" t="n"/>
      <c r="G5" s="31" t="n"/>
      <c r="H5" s="32">
        <f>IF(OR(B5="",N(D5)=0),"",B5/D5)</f>
        <v/>
      </c>
      <c r="I5" s="33">
        <f>IF(OR(D5="",N(C5)=0),"",D5/C5)</f>
        <v/>
      </c>
      <c r="J5" s="32">
        <f>IF(B5="","",SUM(B$4:B5))</f>
        <v/>
      </c>
      <c r="K5" s="34">
        <f>IF(B5="","",SUM(F$4:F5))</f>
        <v/>
      </c>
      <c r="L5" s="32">
        <f>IF(OR(J5="",N(K5)=0),"",J5/K5)</f>
        <v/>
      </c>
      <c r="M5" s="17">
        <f>IF(B5="","",IF(AND(J5&gt;=2*N('Plan'!$B$18),N(K5)=0,N('Plan'!$B$18)&gt;0),"STOP: two sales worth spent, zero sales",IF(AND(N('Plan'!$B$14)&gt;0,J5&gt;=N('Plan'!$B$14)),IF(AND(N(K5)&gt;0,L5&lt;N('Plan'!$B$26)),"Cap reached. It worked: confirm with a second test","Cap reached. Stop and review"),IF(AND(N(K5)&gt;0,L5&lt;N('Plan'!$B$26)),"On track","Keep going, watch the numbers"))))</f>
        <v/>
      </c>
      <c r="N5" s="15" t="n"/>
    </row>
    <row r="6">
      <c r="A6" s="28" t="n"/>
      <c r="B6" s="29" t="n"/>
      <c r="C6" s="30" t="n"/>
      <c r="D6" s="30" t="n"/>
      <c r="E6" s="30" t="n"/>
      <c r="F6" s="30" t="n"/>
      <c r="G6" s="31" t="n"/>
      <c r="H6" s="32">
        <f>IF(OR(B6="",N(D6)=0),"",B6/D6)</f>
        <v/>
      </c>
      <c r="I6" s="33">
        <f>IF(OR(D6="",N(C6)=0),"",D6/C6)</f>
        <v/>
      </c>
      <c r="J6" s="32">
        <f>IF(B6="","",SUM(B$4:B6))</f>
        <v/>
      </c>
      <c r="K6" s="34">
        <f>IF(B6="","",SUM(F$4:F6))</f>
        <v/>
      </c>
      <c r="L6" s="32">
        <f>IF(OR(J6="",N(K6)=0),"",J6/K6)</f>
        <v/>
      </c>
      <c r="M6" s="17">
        <f>IF(B6="","",IF(AND(J6&gt;=2*N('Plan'!$B$18),N(K6)=0,N('Plan'!$B$18)&gt;0),"STOP: two sales worth spent, zero sales",IF(AND(N('Plan'!$B$14)&gt;0,J6&gt;=N('Plan'!$B$14)),IF(AND(N(K6)&gt;0,L6&lt;N('Plan'!$B$26)),"Cap reached. It worked: confirm with a second test","Cap reached. Stop and review"),IF(AND(N(K6)&gt;0,L6&lt;N('Plan'!$B$26)),"On track","Keep going, watch the numbers"))))</f>
        <v/>
      </c>
      <c r="N6" s="15" t="n"/>
    </row>
    <row r="7">
      <c r="A7" s="28" t="n"/>
      <c r="B7" s="29" t="n"/>
      <c r="C7" s="30" t="n"/>
      <c r="D7" s="30" t="n"/>
      <c r="E7" s="30" t="n"/>
      <c r="F7" s="30" t="n"/>
      <c r="G7" s="31" t="n"/>
      <c r="H7" s="32">
        <f>IF(OR(B7="",N(D7)=0),"",B7/D7)</f>
        <v/>
      </c>
      <c r="I7" s="33">
        <f>IF(OR(D7="",N(C7)=0),"",D7/C7)</f>
        <v/>
      </c>
      <c r="J7" s="32">
        <f>IF(B7="","",SUM(B$4:B7))</f>
        <v/>
      </c>
      <c r="K7" s="34">
        <f>IF(B7="","",SUM(F$4:F7))</f>
        <v/>
      </c>
      <c r="L7" s="32">
        <f>IF(OR(J7="",N(K7)=0),"",J7/K7)</f>
        <v/>
      </c>
      <c r="M7" s="17">
        <f>IF(B7="","",IF(AND(J7&gt;=2*N('Plan'!$B$18),N(K7)=0,N('Plan'!$B$18)&gt;0),"STOP: two sales worth spent, zero sales",IF(AND(N('Plan'!$B$14)&gt;0,J7&gt;=N('Plan'!$B$14)),IF(AND(N(K7)&gt;0,L7&lt;N('Plan'!$B$26)),"Cap reached. It worked: confirm with a second test","Cap reached. Stop and review"),IF(AND(N(K7)&gt;0,L7&lt;N('Plan'!$B$26)),"On track","Keep going, watch the numbers"))))</f>
        <v/>
      </c>
      <c r="N7" s="15" t="n"/>
    </row>
    <row r="8">
      <c r="A8" s="28" t="n"/>
      <c r="B8" s="29" t="n"/>
      <c r="C8" s="30" t="n"/>
      <c r="D8" s="30" t="n"/>
      <c r="E8" s="30" t="n"/>
      <c r="F8" s="30" t="n"/>
      <c r="G8" s="31" t="n"/>
      <c r="H8" s="32">
        <f>IF(OR(B8="",N(D8)=0),"",B8/D8)</f>
        <v/>
      </c>
      <c r="I8" s="33">
        <f>IF(OR(D8="",N(C8)=0),"",D8/C8)</f>
        <v/>
      </c>
      <c r="J8" s="32">
        <f>IF(B8="","",SUM(B$4:B8))</f>
        <v/>
      </c>
      <c r="K8" s="34">
        <f>IF(B8="","",SUM(F$4:F8))</f>
        <v/>
      </c>
      <c r="L8" s="32">
        <f>IF(OR(J8="",N(K8)=0),"",J8/K8)</f>
        <v/>
      </c>
      <c r="M8" s="17">
        <f>IF(B8="","",IF(AND(J8&gt;=2*N('Plan'!$B$18),N(K8)=0,N('Plan'!$B$18)&gt;0),"STOP: two sales worth spent, zero sales",IF(AND(N('Plan'!$B$14)&gt;0,J8&gt;=N('Plan'!$B$14)),IF(AND(N(K8)&gt;0,L8&lt;N('Plan'!$B$26)),"Cap reached. It worked: confirm with a second test","Cap reached. Stop and review"),IF(AND(N(K8)&gt;0,L8&lt;N('Plan'!$B$26)),"On track","Keep going, watch the numbers"))))</f>
        <v/>
      </c>
      <c r="N8" s="15" t="n"/>
    </row>
    <row r="9">
      <c r="A9" s="28" t="n"/>
      <c r="B9" s="29" t="n"/>
      <c r="C9" s="30" t="n"/>
      <c r="D9" s="30" t="n"/>
      <c r="E9" s="30" t="n"/>
      <c r="F9" s="30" t="n"/>
      <c r="G9" s="31" t="n"/>
      <c r="H9" s="32">
        <f>IF(OR(B9="",N(D9)=0),"",B9/D9)</f>
        <v/>
      </c>
      <c r="I9" s="33">
        <f>IF(OR(D9="",N(C9)=0),"",D9/C9)</f>
        <v/>
      </c>
      <c r="J9" s="32">
        <f>IF(B9="","",SUM(B$4:B9))</f>
        <v/>
      </c>
      <c r="K9" s="34">
        <f>IF(B9="","",SUM(F$4:F9))</f>
        <v/>
      </c>
      <c r="L9" s="32">
        <f>IF(OR(J9="",N(K9)=0),"",J9/K9)</f>
        <v/>
      </c>
      <c r="M9" s="17">
        <f>IF(B9="","",IF(AND(J9&gt;=2*N('Plan'!$B$18),N(K9)=0,N('Plan'!$B$18)&gt;0),"STOP: two sales worth spent, zero sales",IF(AND(N('Plan'!$B$14)&gt;0,J9&gt;=N('Plan'!$B$14)),IF(AND(N(K9)&gt;0,L9&lt;N('Plan'!$B$26)),"Cap reached. It worked: confirm with a second test","Cap reached. Stop and review"),IF(AND(N(K9)&gt;0,L9&lt;N('Plan'!$B$26)),"On track","Keep going, watch the numbers"))))</f>
        <v/>
      </c>
      <c r="N9" s="15" t="n"/>
    </row>
    <row r="10">
      <c r="A10" s="28" t="n"/>
      <c r="B10" s="29" t="n"/>
      <c r="C10" s="30" t="n"/>
      <c r="D10" s="30" t="n"/>
      <c r="E10" s="30" t="n"/>
      <c r="F10" s="30" t="n"/>
      <c r="G10" s="31" t="n"/>
      <c r="H10" s="32">
        <f>IF(OR(B10="",N(D10)=0),"",B10/D10)</f>
        <v/>
      </c>
      <c r="I10" s="33">
        <f>IF(OR(D10="",N(C10)=0),"",D10/C10)</f>
        <v/>
      </c>
      <c r="J10" s="32">
        <f>IF(B10="","",SUM(B$4:B10))</f>
        <v/>
      </c>
      <c r="K10" s="34">
        <f>IF(B10="","",SUM(F$4:F10))</f>
        <v/>
      </c>
      <c r="L10" s="32">
        <f>IF(OR(J10="",N(K10)=0),"",J10/K10)</f>
        <v/>
      </c>
      <c r="M10" s="17">
        <f>IF(B10="","",IF(AND(J10&gt;=2*N('Plan'!$B$18),N(K10)=0,N('Plan'!$B$18)&gt;0),"STOP: two sales worth spent, zero sales",IF(AND(N('Plan'!$B$14)&gt;0,J10&gt;=N('Plan'!$B$14)),IF(AND(N(K10)&gt;0,L10&lt;N('Plan'!$B$26)),"Cap reached. It worked: confirm with a second test","Cap reached. Stop and review"),IF(AND(N(K10)&gt;0,L10&lt;N('Plan'!$B$26)),"On track","Keep going, watch the numbers"))))</f>
        <v/>
      </c>
      <c r="N10" s="15" t="n"/>
    </row>
    <row r="11">
      <c r="A11" s="28" t="n"/>
      <c r="B11" s="29" t="n"/>
      <c r="C11" s="30" t="n"/>
      <c r="D11" s="30" t="n"/>
      <c r="E11" s="30" t="n"/>
      <c r="F11" s="30" t="n"/>
      <c r="G11" s="31" t="n"/>
      <c r="H11" s="32">
        <f>IF(OR(B11="",N(D11)=0),"",B11/D11)</f>
        <v/>
      </c>
      <c r="I11" s="33">
        <f>IF(OR(D11="",N(C11)=0),"",D11/C11)</f>
        <v/>
      </c>
      <c r="J11" s="32">
        <f>IF(B11="","",SUM(B$4:B11))</f>
        <v/>
      </c>
      <c r="K11" s="34">
        <f>IF(B11="","",SUM(F$4:F11))</f>
        <v/>
      </c>
      <c r="L11" s="32">
        <f>IF(OR(J11="",N(K11)=0),"",J11/K11)</f>
        <v/>
      </c>
      <c r="M11" s="17">
        <f>IF(B11="","",IF(AND(J11&gt;=2*N('Plan'!$B$18),N(K11)=0,N('Plan'!$B$18)&gt;0),"STOP: two sales worth spent, zero sales",IF(AND(N('Plan'!$B$14)&gt;0,J11&gt;=N('Plan'!$B$14)),IF(AND(N(K11)&gt;0,L11&lt;N('Plan'!$B$26)),"Cap reached. It worked: confirm with a second test","Cap reached. Stop and review"),IF(AND(N(K11)&gt;0,L11&lt;N('Plan'!$B$26)),"On track","Keep going, watch the numbers"))))</f>
        <v/>
      </c>
      <c r="N11" s="15" t="n"/>
    </row>
    <row r="12">
      <c r="A12" s="28" t="n"/>
      <c r="B12" s="29" t="n"/>
      <c r="C12" s="30" t="n"/>
      <c r="D12" s="30" t="n"/>
      <c r="E12" s="30" t="n"/>
      <c r="F12" s="30" t="n"/>
      <c r="G12" s="31" t="n"/>
      <c r="H12" s="32">
        <f>IF(OR(B12="",N(D12)=0),"",B12/D12)</f>
        <v/>
      </c>
      <c r="I12" s="33">
        <f>IF(OR(D12="",N(C12)=0),"",D12/C12)</f>
        <v/>
      </c>
      <c r="J12" s="32">
        <f>IF(B12="","",SUM(B$4:B12))</f>
        <v/>
      </c>
      <c r="K12" s="34">
        <f>IF(B12="","",SUM(F$4:F12))</f>
        <v/>
      </c>
      <c r="L12" s="32">
        <f>IF(OR(J12="",N(K12)=0),"",J12/K12)</f>
        <v/>
      </c>
      <c r="M12" s="17">
        <f>IF(B12="","",IF(AND(J12&gt;=2*N('Plan'!$B$18),N(K12)=0,N('Plan'!$B$18)&gt;0),"STOP: two sales worth spent, zero sales",IF(AND(N('Plan'!$B$14)&gt;0,J12&gt;=N('Plan'!$B$14)),IF(AND(N(K12)&gt;0,L12&lt;N('Plan'!$B$26)),"Cap reached. It worked: confirm with a second test","Cap reached. Stop and review"),IF(AND(N(K12)&gt;0,L12&lt;N('Plan'!$B$26)),"On track","Keep going, watch the numbers"))))</f>
        <v/>
      </c>
      <c r="N12" s="15" t="n"/>
    </row>
    <row r="13">
      <c r="A13" s="28" t="n"/>
      <c r="B13" s="29" t="n"/>
      <c r="C13" s="30" t="n"/>
      <c r="D13" s="30" t="n"/>
      <c r="E13" s="30" t="n"/>
      <c r="F13" s="30" t="n"/>
      <c r="G13" s="31" t="n"/>
      <c r="H13" s="32">
        <f>IF(OR(B13="",N(D13)=0),"",B13/D13)</f>
        <v/>
      </c>
      <c r="I13" s="33">
        <f>IF(OR(D13="",N(C13)=0),"",D13/C13)</f>
        <v/>
      </c>
      <c r="J13" s="32">
        <f>IF(B13="","",SUM(B$4:B13))</f>
        <v/>
      </c>
      <c r="K13" s="34">
        <f>IF(B13="","",SUM(F$4:F13))</f>
        <v/>
      </c>
      <c r="L13" s="32">
        <f>IF(OR(J13="",N(K13)=0),"",J13/K13)</f>
        <v/>
      </c>
      <c r="M13" s="17">
        <f>IF(B13="","",IF(AND(J13&gt;=2*N('Plan'!$B$18),N(K13)=0,N('Plan'!$B$18)&gt;0),"STOP: two sales worth spent, zero sales",IF(AND(N('Plan'!$B$14)&gt;0,J13&gt;=N('Plan'!$B$14)),IF(AND(N(K13)&gt;0,L13&lt;N('Plan'!$B$26)),"Cap reached. It worked: confirm with a second test","Cap reached. Stop and review"),IF(AND(N(K13)&gt;0,L13&lt;N('Plan'!$B$26)),"On track","Keep going, watch the numbers"))))</f>
        <v/>
      </c>
      <c r="N13" s="15" t="n"/>
    </row>
    <row r="14">
      <c r="A14" s="28" t="n"/>
      <c r="B14" s="29" t="n"/>
      <c r="C14" s="30" t="n"/>
      <c r="D14" s="30" t="n"/>
      <c r="E14" s="30" t="n"/>
      <c r="F14" s="30" t="n"/>
      <c r="G14" s="31" t="n"/>
      <c r="H14" s="32">
        <f>IF(OR(B14="",N(D14)=0),"",B14/D14)</f>
        <v/>
      </c>
      <c r="I14" s="33">
        <f>IF(OR(D14="",N(C14)=0),"",D14/C14)</f>
        <v/>
      </c>
      <c r="J14" s="32">
        <f>IF(B14="","",SUM(B$4:B14))</f>
        <v/>
      </c>
      <c r="K14" s="34">
        <f>IF(B14="","",SUM(F$4:F14))</f>
        <v/>
      </c>
      <c r="L14" s="32">
        <f>IF(OR(J14="",N(K14)=0),"",J14/K14)</f>
        <v/>
      </c>
      <c r="M14" s="17">
        <f>IF(B14="","",IF(AND(J14&gt;=2*N('Plan'!$B$18),N(K14)=0,N('Plan'!$B$18)&gt;0),"STOP: two sales worth spent, zero sales",IF(AND(N('Plan'!$B$14)&gt;0,J14&gt;=N('Plan'!$B$14)),IF(AND(N(K14)&gt;0,L14&lt;N('Plan'!$B$26)),"Cap reached. It worked: confirm with a second test","Cap reached. Stop and review"),IF(AND(N(K14)&gt;0,L14&lt;N('Plan'!$B$26)),"On track","Keep going, watch the numbers"))))</f>
        <v/>
      </c>
      <c r="N14" s="15" t="n"/>
    </row>
    <row r="15">
      <c r="A15" s="28" t="n"/>
      <c r="B15" s="29" t="n"/>
      <c r="C15" s="30" t="n"/>
      <c r="D15" s="30" t="n"/>
      <c r="E15" s="30" t="n"/>
      <c r="F15" s="30" t="n"/>
      <c r="G15" s="31" t="n"/>
      <c r="H15" s="32">
        <f>IF(OR(B15="",N(D15)=0),"",B15/D15)</f>
        <v/>
      </c>
      <c r="I15" s="33">
        <f>IF(OR(D15="",N(C15)=0),"",D15/C15)</f>
        <v/>
      </c>
      <c r="J15" s="32">
        <f>IF(B15="","",SUM(B$4:B15))</f>
        <v/>
      </c>
      <c r="K15" s="34">
        <f>IF(B15="","",SUM(F$4:F15))</f>
        <v/>
      </c>
      <c r="L15" s="32">
        <f>IF(OR(J15="",N(K15)=0),"",J15/K15)</f>
        <v/>
      </c>
      <c r="M15" s="17">
        <f>IF(B15="","",IF(AND(J15&gt;=2*N('Plan'!$B$18),N(K15)=0,N('Plan'!$B$18)&gt;0),"STOP: two sales worth spent, zero sales",IF(AND(N('Plan'!$B$14)&gt;0,J15&gt;=N('Plan'!$B$14)),IF(AND(N(K15)&gt;0,L15&lt;N('Plan'!$B$26)),"Cap reached. It worked: confirm with a second test","Cap reached. Stop and review"),IF(AND(N(K15)&gt;0,L15&lt;N('Plan'!$B$26)),"On track","Keep going, watch the numbers"))))</f>
        <v/>
      </c>
      <c r="N15" s="15" t="n"/>
    </row>
    <row r="16">
      <c r="A16" s="28" t="n"/>
      <c r="B16" s="29" t="n"/>
      <c r="C16" s="30" t="n"/>
      <c r="D16" s="30" t="n"/>
      <c r="E16" s="30" t="n"/>
      <c r="F16" s="30" t="n"/>
      <c r="G16" s="31" t="n"/>
      <c r="H16" s="32">
        <f>IF(OR(B16="",N(D16)=0),"",B16/D16)</f>
        <v/>
      </c>
      <c r="I16" s="33">
        <f>IF(OR(D16="",N(C16)=0),"",D16/C16)</f>
        <v/>
      </c>
      <c r="J16" s="32">
        <f>IF(B16="","",SUM(B$4:B16))</f>
        <v/>
      </c>
      <c r="K16" s="34">
        <f>IF(B16="","",SUM(F$4:F16))</f>
        <v/>
      </c>
      <c r="L16" s="32">
        <f>IF(OR(J16="",N(K16)=0),"",J16/K16)</f>
        <v/>
      </c>
      <c r="M16" s="17">
        <f>IF(B16="","",IF(AND(J16&gt;=2*N('Plan'!$B$18),N(K16)=0,N('Plan'!$B$18)&gt;0),"STOP: two sales worth spent, zero sales",IF(AND(N('Plan'!$B$14)&gt;0,J16&gt;=N('Plan'!$B$14)),IF(AND(N(K16)&gt;0,L16&lt;N('Plan'!$B$26)),"Cap reached. It worked: confirm with a second test","Cap reached. Stop and review"),IF(AND(N(K16)&gt;0,L16&lt;N('Plan'!$B$26)),"On track","Keep going, watch the numbers"))))</f>
        <v/>
      </c>
      <c r="N16" s="15" t="n"/>
    </row>
    <row r="17">
      <c r="A17" s="28" t="n"/>
      <c r="B17" s="29" t="n"/>
      <c r="C17" s="30" t="n"/>
      <c r="D17" s="30" t="n"/>
      <c r="E17" s="30" t="n"/>
      <c r="F17" s="30" t="n"/>
      <c r="G17" s="31" t="n"/>
      <c r="H17" s="32">
        <f>IF(OR(B17="",N(D17)=0),"",B17/D17)</f>
        <v/>
      </c>
      <c r="I17" s="33">
        <f>IF(OR(D17="",N(C17)=0),"",D17/C17)</f>
        <v/>
      </c>
      <c r="J17" s="32">
        <f>IF(B17="","",SUM(B$4:B17))</f>
        <v/>
      </c>
      <c r="K17" s="34">
        <f>IF(B17="","",SUM(F$4:F17))</f>
        <v/>
      </c>
      <c r="L17" s="32">
        <f>IF(OR(J17="",N(K17)=0),"",J17/K17)</f>
        <v/>
      </c>
      <c r="M17" s="17">
        <f>IF(B17="","",IF(AND(J17&gt;=2*N('Plan'!$B$18),N(K17)=0,N('Plan'!$B$18)&gt;0),"STOP: two sales worth spent, zero sales",IF(AND(N('Plan'!$B$14)&gt;0,J17&gt;=N('Plan'!$B$14)),IF(AND(N(K17)&gt;0,L17&lt;N('Plan'!$B$26)),"Cap reached. It worked: confirm with a second test","Cap reached. Stop and review"),IF(AND(N(K17)&gt;0,L17&lt;N('Plan'!$B$26)),"On track","Keep going, watch the numbers"))))</f>
        <v/>
      </c>
      <c r="N17" s="15" t="n"/>
    </row>
    <row r="18">
      <c r="A18" s="28" t="n"/>
      <c r="B18" s="29" t="n"/>
      <c r="C18" s="30" t="n"/>
      <c r="D18" s="30" t="n"/>
      <c r="E18" s="30" t="n"/>
      <c r="F18" s="30" t="n"/>
      <c r="G18" s="31" t="n"/>
      <c r="H18" s="32">
        <f>IF(OR(B18="",N(D18)=0),"",B18/D18)</f>
        <v/>
      </c>
      <c r="I18" s="33">
        <f>IF(OR(D18="",N(C18)=0),"",D18/C18)</f>
        <v/>
      </c>
      <c r="J18" s="32">
        <f>IF(B18="","",SUM(B$4:B18))</f>
        <v/>
      </c>
      <c r="K18" s="34">
        <f>IF(B18="","",SUM(F$4:F18))</f>
        <v/>
      </c>
      <c r="L18" s="32">
        <f>IF(OR(J18="",N(K18)=0),"",J18/K18)</f>
        <v/>
      </c>
      <c r="M18" s="17">
        <f>IF(B18="","",IF(AND(J18&gt;=2*N('Plan'!$B$18),N(K18)=0,N('Plan'!$B$18)&gt;0),"STOP: two sales worth spent, zero sales",IF(AND(N('Plan'!$B$14)&gt;0,J18&gt;=N('Plan'!$B$14)),IF(AND(N(K18)&gt;0,L18&lt;N('Plan'!$B$26)),"Cap reached. It worked: confirm with a second test","Cap reached. Stop and review"),IF(AND(N(K18)&gt;0,L18&lt;N('Plan'!$B$26)),"On track","Keep going, watch the numbers"))))</f>
        <v/>
      </c>
      <c r="N18" s="15" t="n"/>
    </row>
    <row r="19">
      <c r="A19" s="28" t="n"/>
      <c r="B19" s="29" t="n"/>
      <c r="C19" s="30" t="n"/>
      <c r="D19" s="30" t="n"/>
      <c r="E19" s="30" t="n"/>
      <c r="F19" s="30" t="n"/>
      <c r="G19" s="31" t="n"/>
      <c r="H19" s="32">
        <f>IF(OR(B19="",N(D19)=0),"",B19/D19)</f>
        <v/>
      </c>
      <c r="I19" s="33">
        <f>IF(OR(D19="",N(C19)=0),"",D19/C19)</f>
        <v/>
      </c>
      <c r="J19" s="32">
        <f>IF(B19="","",SUM(B$4:B19))</f>
        <v/>
      </c>
      <c r="K19" s="34">
        <f>IF(B19="","",SUM(F$4:F19))</f>
        <v/>
      </c>
      <c r="L19" s="32">
        <f>IF(OR(J19="",N(K19)=0),"",J19/K19)</f>
        <v/>
      </c>
      <c r="M19" s="17">
        <f>IF(B19="","",IF(AND(J19&gt;=2*N('Plan'!$B$18),N(K19)=0,N('Plan'!$B$18)&gt;0),"STOP: two sales worth spent, zero sales",IF(AND(N('Plan'!$B$14)&gt;0,J19&gt;=N('Plan'!$B$14)),IF(AND(N(K19)&gt;0,L19&lt;N('Plan'!$B$26)),"Cap reached. It worked: confirm with a second test","Cap reached. Stop and review"),IF(AND(N(K19)&gt;0,L19&lt;N('Plan'!$B$26)),"On track","Keep going, watch the numbers"))))</f>
        <v/>
      </c>
      <c r="N19" s="15" t="n"/>
    </row>
    <row r="20">
      <c r="A20" s="28" t="n"/>
      <c r="B20" s="29" t="n"/>
      <c r="C20" s="30" t="n"/>
      <c r="D20" s="30" t="n"/>
      <c r="E20" s="30" t="n"/>
      <c r="F20" s="30" t="n"/>
      <c r="G20" s="31" t="n"/>
      <c r="H20" s="32">
        <f>IF(OR(B20="",N(D20)=0),"",B20/D20)</f>
        <v/>
      </c>
      <c r="I20" s="33">
        <f>IF(OR(D20="",N(C20)=0),"",D20/C20)</f>
        <v/>
      </c>
      <c r="J20" s="32">
        <f>IF(B20="","",SUM(B$4:B20))</f>
        <v/>
      </c>
      <c r="K20" s="34">
        <f>IF(B20="","",SUM(F$4:F20))</f>
        <v/>
      </c>
      <c r="L20" s="32">
        <f>IF(OR(J20="",N(K20)=0),"",J20/K20)</f>
        <v/>
      </c>
      <c r="M20" s="17">
        <f>IF(B20="","",IF(AND(J20&gt;=2*N('Plan'!$B$18),N(K20)=0,N('Plan'!$B$18)&gt;0),"STOP: two sales worth spent, zero sales",IF(AND(N('Plan'!$B$14)&gt;0,J20&gt;=N('Plan'!$B$14)),IF(AND(N(K20)&gt;0,L20&lt;N('Plan'!$B$26)),"Cap reached. It worked: confirm with a second test","Cap reached. Stop and review"),IF(AND(N(K20)&gt;0,L20&lt;N('Plan'!$B$26)),"On track","Keep going, watch the numbers"))))</f>
        <v/>
      </c>
      <c r="N20" s="15" t="n"/>
    </row>
    <row r="21">
      <c r="A21" s="28" t="n"/>
      <c r="B21" s="29" t="n"/>
      <c r="C21" s="30" t="n"/>
      <c r="D21" s="30" t="n"/>
      <c r="E21" s="30" t="n"/>
      <c r="F21" s="30" t="n"/>
      <c r="G21" s="31" t="n"/>
      <c r="H21" s="32">
        <f>IF(OR(B21="",N(D21)=0),"",B21/D21)</f>
        <v/>
      </c>
      <c r="I21" s="33">
        <f>IF(OR(D21="",N(C21)=0),"",D21/C21)</f>
        <v/>
      </c>
      <c r="J21" s="32">
        <f>IF(B21="","",SUM(B$4:B21))</f>
        <v/>
      </c>
      <c r="K21" s="34">
        <f>IF(B21="","",SUM(F$4:F21))</f>
        <v/>
      </c>
      <c r="L21" s="32">
        <f>IF(OR(J21="",N(K21)=0),"",J21/K21)</f>
        <v/>
      </c>
      <c r="M21" s="17">
        <f>IF(B21="","",IF(AND(J21&gt;=2*N('Plan'!$B$18),N(K21)=0,N('Plan'!$B$18)&gt;0),"STOP: two sales worth spent, zero sales",IF(AND(N('Plan'!$B$14)&gt;0,J21&gt;=N('Plan'!$B$14)),IF(AND(N(K21)&gt;0,L21&lt;N('Plan'!$B$26)),"Cap reached. It worked: confirm with a second test","Cap reached. Stop and review"),IF(AND(N(K21)&gt;0,L21&lt;N('Plan'!$B$26)),"On track","Keep going, watch the numbers"))))</f>
        <v/>
      </c>
      <c r="N21" s="15" t="n"/>
    </row>
    <row r="22">
      <c r="A22" s="28" t="n"/>
      <c r="B22" s="29" t="n"/>
      <c r="C22" s="30" t="n"/>
      <c r="D22" s="30" t="n"/>
      <c r="E22" s="30" t="n"/>
      <c r="F22" s="30" t="n"/>
      <c r="G22" s="31" t="n"/>
      <c r="H22" s="32">
        <f>IF(OR(B22="",N(D22)=0),"",B22/D22)</f>
        <v/>
      </c>
      <c r="I22" s="33">
        <f>IF(OR(D22="",N(C22)=0),"",D22/C22)</f>
        <v/>
      </c>
      <c r="J22" s="32">
        <f>IF(B22="","",SUM(B$4:B22))</f>
        <v/>
      </c>
      <c r="K22" s="34">
        <f>IF(B22="","",SUM(F$4:F22))</f>
        <v/>
      </c>
      <c r="L22" s="32">
        <f>IF(OR(J22="",N(K22)=0),"",J22/K22)</f>
        <v/>
      </c>
      <c r="M22" s="17">
        <f>IF(B22="","",IF(AND(J22&gt;=2*N('Plan'!$B$18),N(K22)=0,N('Plan'!$B$18)&gt;0),"STOP: two sales worth spent, zero sales",IF(AND(N('Plan'!$B$14)&gt;0,J22&gt;=N('Plan'!$B$14)),IF(AND(N(K22)&gt;0,L22&lt;N('Plan'!$B$26)),"Cap reached. It worked: confirm with a second test","Cap reached. Stop and review"),IF(AND(N(K22)&gt;0,L22&lt;N('Plan'!$B$26)),"On track","Keep going, watch the numbers"))))</f>
        <v/>
      </c>
      <c r="N22" s="15" t="n"/>
    </row>
    <row r="23">
      <c r="A23" s="28" t="n"/>
      <c r="B23" s="29" t="n"/>
      <c r="C23" s="30" t="n"/>
      <c r="D23" s="30" t="n"/>
      <c r="E23" s="30" t="n"/>
      <c r="F23" s="30" t="n"/>
      <c r="G23" s="31" t="n"/>
      <c r="H23" s="32">
        <f>IF(OR(B23="",N(D23)=0),"",B23/D23)</f>
        <v/>
      </c>
      <c r="I23" s="33">
        <f>IF(OR(D23="",N(C23)=0),"",D23/C23)</f>
        <v/>
      </c>
      <c r="J23" s="32">
        <f>IF(B23="","",SUM(B$4:B23))</f>
        <v/>
      </c>
      <c r="K23" s="34">
        <f>IF(B23="","",SUM(F$4:F23))</f>
        <v/>
      </c>
      <c r="L23" s="32">
        <f>IF(OR(J23="",N(K23)=0),"",J23/K23)</f>
        <v/>
      </c>
      <c r="M23" s="17">
        <f>IF(B23="","",IF(AND(J23&gt;=2*N('Plan'!$B$18),N(K23)=0,N('Plan'!$B$18)&gt;0),"STOP: two sales worth spent, zero sales",IF(AND(N('Plan'!$B$14)&gt;0,J23&gt;=N('Plan'!$B$14)),IF(AND(N(K23)&gt;0,L23&lt;N('Plan'!$B$26)),"Cap reached. It worked: confirm with a second test","Cap reached. Stop and review"),IF(AND(N(K23)&gt;0,L23&lt;N('Plan'!$B$26)),"On track","Keep going, watch the numbers"))))</f>
        <v/>
      </c>
      <c r="N23" s="15" t="n"/>
    </row>
    <row r="24">
      <c r="A24" s="28" t="n"/>
      <c r="B24" s="29" t="n"/>
      <c r="C24" s="30" t="n"/>
      <c r="D24" s="30" t="n"/>
      <c r="E24" s="30" t="n"/>
      <c r="F24" s="30" t="n"/>
      <c r="G24" s="31" t="n"/>
      <c r="H24" s="32">
        <f>IF(OR(B24="",N(D24)=0),"",B24/D24)</f>
        <v/>
      </c>
      <c r="I24" s="33">
        <f>IF(OR(D24="",N(C24)=0),"",D24/C24)</f>
        <v/>
      </c>
      <c r="J24" s="32">
        <f>IF(B24="","",SUM(B$4:B24))</f>
        <v/>
      </c>
      <c r="K24" s="34">
        <f>IF(B24="","",SUM(F$4:F24))</f>
        <v/>
      </c>
      <c r="L24" s="32">
        <f>IF(OR(J24="",N(K24)=0),"",J24/K24)</f>
        <v/>
      </c>
      <c r="M24" s="17">
        <f>IF(B24="","",IF(AND(J24&gt;=2*N('Plan'!$B$18),N(K24)=0,N('Plan'!$B$18)&gt;0),"STOP: two sales worth spent, zero sales",IF(AND(N('Plan'!$B$14)&gt;0,J24&gt;=N('Plan'!$B$14)),IF(AND(N(K24)&gt;0,L24&lt;N('Plan'!$B$26)),"Cap reached. It worked: confirm with a second test","Cap reached. Stop and review"),IF(AND(N(K24)&gt;0,L24&lt;N('Plan'!$B$26)),"On track","Keep going, watch the numbers"))))</f>
        <v/>
      </c>
      <c r="N24" s="15" t="n"/>
    </row>
    <row r="25">
      <c r="A25" s="28" t="n"/>
      <c r="B25" s="29" t="n"/>
      <c r="C25" s="30" t="n"/>
      <c r="D25" s="30" t="n"/>
      <c r="E25" s="30" t="n"/>
      <c r="F25" s="30" t="n"/>
      <c r="G25" s="31" t="n"/>
      <c r="H25" s="32">
        <f>IF(OR(B25="",N(D25)=0),"",B25/D25)</f>
        <v/>
      </c>
      <c r="I25" s="33">
        <f>IF(OR(D25="",N(C25)=0),"",D25/C25)</f>
        <v/>
      </c>
      <c r="J25" s="32">
        <f>IF(B25="","",SUM(B$4:B25))</f>
        <v/>
      </c>
      <c r="K25" s="34">
        <f>IF(B25="","",SUM(F$4:F25))</f>
        <v/>
      </c>
      <c r="L25" s="32">
        <f>IF(OR(J25="",N(K25)=0),"",J25/K25)</f>
        <v/>
      </c>
      <c r="M25" s="17">
        <f>IF(B25="","",IF(AND(J25&gt;=2*N('Plan'!$B$18),N(K25)=0,N('Plan'!$B$18)&gt;0),"STOP: two sales worth spent, zero sales",IF(AND(N('Plan'!$B$14)&gt;0,J25&gt;=N('Plan'!$B$14)),IF(AND(N(K25)&gt;0,L25&lt;N('Plan'!$B$26)),"Cap reached. It worked: confirm with a second test","Cap reached. Stop and review"),IF(AND(N(K25)&gt;0,L25&lt;N('Plan'!$B$26)),"On track","Keep going, watch the numbers"))))</f>
        <v/>
      </c>
      <c r="N25" s="15" t="n"/>
    </row>
    <row r="26">
      <c r="A26" s="28" t="n"/>
      <c r="B26" s="29" t="n"/>
      <c r="C26" s="30" t="n"/>
      <c r="D26" s="30" t="n"/>
      <c r="E26" s="30" t="n"/>
      <c r="F26" s="30" t="n"/>
      <c r="G26" s="31" t="n"/>
      <c r="H26" s="32">
        <f>IF(OR(B26="",N(D26)=0),"",B26/D26)</f>
        <v/>
      </c>
      <c r="I26" s="33">
        <f>IF(OR(D26="",N(C26)=0),"",D26/C26)</f>
        <v/>
      </c>
      <c r="J26" s="32">
        <f>IF(B26="","",SUM(B$4:B26))</f>
        <v/>
      </c>
      <c r="K26" s="34">
        <f>IF(B26="","",SUM(F$4:F26))</f>
        <v/>
      </c>
      <c r="L26" s="32">
        <f>IF(OR(J26="",N(K26)=0),"",J26/K26)</f>
        <v/>
      </c>
      <c r="M26" s="17">
        <f>IF(B26="","",IF(AND(J26&gt;=2*N('Plan'!$B$18),N(K26)=0,N('Plan'!$B$18)&gt;0),"STOP: two sales worth spent, zero sales",IF(AND(N('Plan'!$B$14)&gt;0,J26&gt;=N('Plan'!$B$14)),IF(AND(N(K26)&gt;0,L26&lt;N('Plan'!$B$26)),"Cap reached. It worked: confirm with a second test","Cap reached. Stop and review"),IF(AND(N(K26)&gt;0,L26&lt;N('Plan'!$B$26)),"On track","Keep going, watch the numbers"))))</f>
        <v/>
      </c>
      <c r="N26" s="15" t="n"/>
    </row>
    <row r="27">
      <c r="A27" s="28" t="n"/>
      <c r="B27" s="29" t="n"/>
      <c r="C27" s="30" t="n"/>
      <c r="D27" s="30" t="n"/>
      <c r="E27" s="30" t="n"/>
      <c r="F27" s="30" t="n"/>
      <c r="G27" s="31" t="n"/>
      <c r="H27" s="32">
        <f>IF(OR(B27="",N(D27)=0),"",B27/D27)</f>
        <v/>
      </c>
      <c r="I27" s="33">
        <f>IF(OR(D27="",N(C27)=0),"",D27/C27)</f>
        <v/>
      </c>
      <c r="J27" s="32">
        <f>IF(B27="","",SUM(B$4:B27))</f>
        <v/>
      </c>
      <c r="K27" s="34">
        <f>IF(B27="","",SUM(F$4:F27))</f>
        <v/>
      </c>
      <c r="L27" s="32">
        <f>IF(OR(J27="",N(K27)=0),"",J27/K27)</f>
        <v/>
      </c>
      <c r="M27" s="17">
        <f>IF(B27="","",IF(AND(J27&gt;=2*N('Plan'!$B$18),N(K27)=0,N('Plan'!$B$18)&gt;0),"STOP: two sales worth spent, zero sales",IF(AND(N('Plan'!$B$14)&gt;0,J27&gt;=N('Plan'!$B$14)),IF(AND(N(K27)&gt;0,L27&lt;N('Plan'!$B$26)),"Cap reached. It worked: confirm with a second test","Cap reached. Stop and review"),IF(AND(N(K27)&gt;0,L27&lt;N('Plan'!$B$26)),"On track","Keep going, watch the numbers"))))</f>
        <v/>
      </c>
      <c r="N27" s="15" t="n"/>
    </row>
    <row r="28">
      <c r="A28" s="28" t="n"/>
      <c r="B28" s="29" t="n"/>
      <c r="C28" s="30" t="n"/>
      <c r="D28" s="30" t="n"/>
      <c r="E28" s="30" t="n"/>
      <c r="F28" s="30" t="n"/>
      <c r="G28" s="31" t="n"/>
      <c r="H28" s="32">
        <f>IF(OR(B28="",N(D28)=0),"",B28/D28)</f>
        <v/>
      </c>
      <c r="I28" s="33">
        <f>IF(OR(D28="",N(C28)=0),"",D28/C28)</f>
        <v/>
      </c>
      <c r="J28" s="32">
        <f>IF(B28="","",SUM(B$4:B28))</f>
        <v/>
      </c>
      <c r="K28" s="34">
        <f>IF(B28="","",SUM(F$4:F28))</f>
        <v/>
      </c>
      <c r="L28" s="32">
        <f>IF(OR(J28="",N(K28)=0),"",J28/K28)</f>
        <v/>
      </c>
      <c r="M28" s="17">
        <f>IF(B28="","",IF(AND(J28&gt;=2*N('Plan'!$B$18),N(K28)=0,N('Plan'!$B$18)&gt;0),"STOP: two sales worth spent, zero sales",IF(AND(N('Plan'!$B$14)&gt;0,J28&gt;=N('Plan'!$B$14)),IF(AND(N(K28)&gt;0,L28&lt;N('Plan'!$B$26)),"Cap reached. It worked: confirm with a second test","Cap reached. Stop and review"),IF(AND(N(K28)&gt;0,L28&lt;N('Plan'!$B$26)),"On track","Keep going, watch the numbers"))))</f>
        <v/>
      </c>
      <c r="N28" s="15" t="n"/>
    </row>
    <row r="29">
      <c r="A29" s="28" t="n"/>
      <c r="B29" s="29" t="n"/>
      <c r="C29" s="30" t="n"/>
      <c r="D29" s="30" t="n"/>
      <c r="E29" s="30" t="n"/>
      <c r="F29" s="30" t="n"/>
      <c r="G29" s="31" t="n"/>
      <c r="H29" s="32">
        <f>IF(OR(B29="",N(D29)=0),"",B29/D29)</f>
        <v/>
      </c>
      <c r="I29" s="33">
        <f>IF(OR(D29="",N(C29)=0),"",D29/C29)</f>
        <v/>
      </c>
      <c r="J29" s="32">
        <f>IF(B29="","",SUM(B$4:B29))</f>
        <v/>
      </c>
      <c r="K29" s="34">
        <f>IF(B29="","",SUM(F$4:F29))</f>
        <v/>
      </c>
      <c r="L29" s="32">
        <f>IF(OR(J29="",N(K29)=0),"",J29/K29)</f>
        <v/>
      </c>
      <c r="M29" s="17">
        <f>IF(B29="","",IF(AND(J29&gt;=2*N('Plan'!$B$18),N(K29)=0,N('Plan'!$B$18)&gt;0),"STOP: two sales worth spent, zero sales",IF(AND(N('Plan'!$B$14)&gt;0,J29&gt;=N('Plan'!$B$14)),IF(AND(N(K29)&gt;0,L29&lt;N('Plan'!$B$26)),"Cap reached. It worked: confirm with a second test","Cap reached. Stop and review"),IF(AND(N(K29)&gt;0,L29&lt;N('Plan'!$B$26)),"On track","Keep going, watch the numbers"))))</f>
        <v/>
      </c>
      <c r="N29" s="15" t="n"/>
    </row>
    <row r="30">
      <c r="A30" s="28" t="n"/>
      <c r="B30" s="29" t="n"/>
      <c r="C30" s="30" t="n"/>
      <c r="D30" s="30" t="n"/>
      <c r="E30" s="30" t="n"/>
      <c r="F30" s="30" t="n"/>
      <c r="G30" s="31" t="n"/>
      <c r="H30" s="32">
        <f>IF(OR(B30="",N(D30)=0),"",B30/D30)</f>
        <v/>
      </c>
      <c r="I30" s="33">
        <f>IF(OR(D30="",N(C30)=0),"",D30/C30)</f>
        <v/>
      </c>
      <c r="J30" s="32">
        <f>IF(B30="","",SUM(B$4:B30))</f>
        <v/>
      </c>
      <c r="K30" s="34">
        <f>IF(B30="","",SUM(F$4:F30))</f>
        <v/>
      </c>
      <c r="L30" s="32">
        <f>IF(OR(J30="",N(K30)=0),"",J30/K30)</f>
        <v/>
      </c>
      <c r="M30" s="17">
        <f>IF(B30="","",IF(AND(J30&gt;=2*N('Plan'!$B$18),N(K30)=0,N('Plan'!$B$18)&gt;0),"STOP: two sales worth spent, zero sales",IF(AND(N('Plan'!$B$14)&gt;0,J30&gt;=N('Plan'!$B$14)),IF(AND(N(K30)&gt;0,L30&lt;N('Plan'!$B$26)),"Cap reached. It worked: confirm with a second test","Cap reached. Stop and review"),IF(AND(N(K30)&gt;0,L30&lt;N('Plan'!$B$26)),"On track","Keep going, watch the numbers"))))</f>
        <v/>
      </c>
      <c r="N30" s="15" t="n"/>
    </row>
    <row r="31">
      <c r="A31" s="28" t="n"/>
      <c r="B31" s="29" t="n"/>
      <c r="C31" s="30" t="n"/>
      <c r="D31" s="30" t="n"/>
      <c r="E31" s="30" t="n"/>
      <c r="F31" s="30" t="n"/>
      <c r="G31" s="31" t="n"/>
      <c r="H31" s="32">
        <f>IF(OR(B31="",N(D31)=0),"",B31/D31)</f>
        <v/>
      </c>
      <c r="I31" s="33">
        <f>IF(OR(D31="",N(C31)=0),"",D31/C31)</f>
        <v/>
      </c>
      <c r="J31" s="32">
        <f>IF(B31="","",SUM(B$4:B31))</f>
        <v/>
      </c>
      <c r="K31" s="34">
        <f>IF(B31="","",SUM(F$4:F31))</f>
        <v/>
      </c>
      <c r="L31" s="32">
        <f>IF(OR(J31="",N(K31)=0),"",J31/K31)</f>
        <v/>
      </c>
      <c r="M31" s="17">
        <f>IF(B31="","",IF(AND(J31&gt;=2*N('Plan'!$B$18),N(K31)=0,N('Plan'!$B$18)&gt;0),"STOP: two sales worth spent, zero sales",IF(AND(N('Plan'!$B$14)&gt;0,J31&gt;=N('Plan'!$B$14)),IF(AND(N(K31)&gt;0,L31&lt;N('Plan'!$B$26)),"Cap reached. It worked: confirm with a second test","Cap reached. Stop and review"),IF(AND(N(K31)&gt;0,L31&lt;N('Plan'!$B$26)),"On track","Keep going, watch the numbers"))))</f>
        <v/>
      </c>
      <c r="N31" s="15" t="n"/>
    </row>
    <row r="32">
      <c r="A32" s="28" t="n"/>
      <c r="B32" s="29" t="n"/>
      <c r="C32" s="30" t="n"/>
      <c r="D32" s="30" t="n"/>
      <c r="E32" s="30" t="n"/>
      <c r="F32" s="30" t="n"/>
      <c r="G32" s="31" t="n"/>
      <c r="H32" s="32">
        <f>IF(OR(B32="",N(D32)=0),"",B32/D32)</f>
        <v/>
      </c>
      <c r="I32" s="33">
        <f>IF(OR(D32="",N(C32)=0),"",D32/C32)</f>
        <v/>
      </c>
      <c r="J32" s="32">
        <f>IF(B32="","",SUM(B$4:B32))</f>
        <v/>
      </c>
      <c r="K32" s="34">
        <f>IF(B32="","",SUM(F$4:F32))</f>
        <v/>
      </c>
      <c r="L32" s="32">
        <f>IF(OR(J32="",N(K32)=0),"",J32/K32)</f>
        <v/>
      </c>
      <c r="M32" s="17">
        <f>IF(B32="","",IF(AND(J32&gt;=2*N('Plan'!$B$18),N(K32)=0,N('Plan'!$B$18)&gt;0),"STOP: two sales worth spent, zero sales",IF(AND(N('Plan'!$B$14)&gt;0,J32&gt;=N('Plan'!$B$14)),IF(AND(N(K32)&gt;0,L32&lt;N('Plan'!$B$26)),"Cap reached. It worked: confirm with a second test","Cap reached. Stop and review"),IF(AND(N(K32)&gt;0,L32&lt;N('Plan'!$B$26)),"On track","Keep going, watch the numbers"))))</f>
        <v/>
      </c>
      <c r="N32" s="15" t="n"/>
    </row>
    <row r="33">
      <c r="A33" s="28" t="n"/>
      <c r="B33" s="29" t="n"/>
      <c r="C33" s="30" t="n"/>
      <c r="D33" s="30" t="n"/>
      <c r="E33" s="30" t="n"/>
      <c r="F33" s="30" t="n"/>
      <c r="G33" s="31" t="n"/>
      <c r="H33" s="32">
        <f>IF(OR(B33="",N(D33)=0),"",B33/D33)</f>
        <v/>
      </c>
      <c r="I33" s="33">
        <f>IF(OR(D33="",N(C33)=0),"",D33/C33)</f>
        <v/>
      </c>
      <c r="J33" s="32">
        <f>IF(B33="","",SUM(B$4:B33))</f>
        <v/>
      </c>
      <c r="K33" s="34">
        <f>IF(B33="","",SUM(F$4:F33))</f>
        <v/>
      </c>
      <c r="L33" s="32">
        <f>IF(OR(J33="",N(K33)=0),"",J33/K33)</f>
        <v/>
      </c>
      <c r="M33" s="17">
        <f>IF(B33="","",IF(AND(J33&gt;=2*N('Plan'!$B$18),N(K33)=0,N('Plan'!$B$18)&gt;0),"STOP: two sales worth spent, zero sales",IF(AND(N('Plan'!$B$14)&gt;0,J33&gt;=N('Plan'!$B$14)),IF(AND(N(K33)&gt;0,L33&lt;N('Plan'!$B$26)),"Cap reached. It worked: confirm with a second test","Cap reached. Stop and review"),IF(AND(N(K33)&gt;0,L33&lt;N('Plan'!$B$26)),"On track","Keep going, watch the numbers"))))</f>
        <v/>
      </c>
      <c r="N33" s="15" t="n"/>
    </row>
  </sheetData>
  <autoFilter ref="A3:N33"/>
  <conditionalFormatting sqref="M4:M33">
    <cfRule type="expression" priority="1" dxfId="0" stopIfTrue="0">
      <formula>LEFT(M4,4)="STOP"</formula>
    </cfRule>
    <cfRule type="expression" priority="2" dxfId="1" stopIfTrue="0">
      <formula>OR(M4="On track",LEFT(M4,20)="Cap reached. It work")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60" customWidth="1" min="2" max="2"/>
  </cols>
  <sheetData>
    <row r="1" ht="26" customHeight="1">
      <c r="A1" s="12" t="inlineStr">
        <is>
          <t>What the test taught you</t>
        </is>
      </c>
    </row>
    <row r="2">
      <c r="A2" s="13" t="inlineStr">
        <is>
          <t>Stopping is not failing. A stopped test with clear notes beats a lucky one you can't explain.</t>
        </is>
      </c>
    </row>
    <row r="4">
      <c r="A4" s="1" t="inlineStr">
        <is>
          <t>TOTALS</t>
        </is>
      </c>
    </row>
    <row r="5">
      <c r="A5" s="14" t="inlineStr">
        <is>
          <t>Spent ($)</t>
        </is>
      </c>
      <c r="B5" s="22">
        <f>SUM('Daily log'!$B$4:$B$33)</f>
        <v/>
      </c>
    </row>
    <row r="6">
      <c r="A6" s="14" t="inlineStr">
        <is>
          <t>Clicks</t>
        </is>
      </c>
      <c r="B6" s="23">
        <f>SUM('Daily log'!$D$4:$D$33)</f>
        <v/>
      </c>
    </row>
    <row r="7">
      <c r="A7" s="14" t="inlineStr">
        <is>
          <t>Average cost per click ($)</t>
        </is>
      </c>
      <c r="B7" s="22">
        <f>IF($B$6=0,"",$B$5/$B$6)</f>
        <v/>
      </c>
    </row>
    <row r="8">
      <c r="A8" s="14" t="inlineStr">
        <is>
          <t>Page visits</t>
        </is>
      </c>
      <c r="B8" s="23">
        <f>SUM('Daily log'!$E$4:$E$33)</f>
        <v/>
      </c>
    </row>
    <row r="9">
      <c r="A9" s="14" t="inlineStr">
        <is>
          <t>Sales</t>
        </is>
      </c>
      <c r="B9" s="23">
        <f>SUM('Daily log'!$F$4:$F$33)</f>
        <v/>
      </c>
    </row>
    <row r="10">
      <c r="A10" s="14" t="inlineStr">
        <is>
          <t>Page conversion (sales / visits)</t>
        </is>
      </c>
      <c r="B10" s="35">
        <f>IF($B$8=0,"",$B$9/$B$8)</f>
        <v/>
      </c>
    </row>
    <row r="11">
      <c r="A11" s="16" t="inlineStr">
        <is>
          <t>Cost per sale ($)</t>
        </is>
      </c>
      <c r="B11" s="25">
        <f>IF($B$9=0,"",$B$5/$B$9)</f>
        <v/>
      </c>
    </row>
    <row r="12">
      <c r="A12" s="14" t="inlineStr">
        <is>
          <t>What one sale earns you ($)</t>
        </is>
      </c>
      <c r="B12" s="22">
        <f>N('Plan'!$B$26)</f>
        <v/>
      </c>
    </row>
    <row r="13" ht="44" customHeight="1">
      <c r="A13" s="16" t="inlineStr">
        <is>
          <t>Read</t>
        </is>
      </c>
      <c r="B13" s="17">
        <f>IF($B$5=0,"Log your first day.",IF($B$9=0,"No sales yet. If you have spent two sales worth, pause and change one thing.",IF($B$11&lt;N('Plan'!$B$26),"Each sale cost less than it earns. Confirm with a second test before you raise the budget, then raise it in small steps.","Each sale cost more than it earns. Change one thing: the hook, the audience, the headline or the offer.")))</f>
        <v/>
      </c>
    </row>
    <row r="15">
      <c r="A15" s="1" t="inlineStr">
        <is>
          <t>YOUR NOTES</t>
        </is>
      </c>
    </row>
    <row r="16" ht="44" customHeight="1">
      <c r="A16" s="14" t="inlineStr">
        <is>
          <t>What you learned (cost per click, conversion, top comment or objection)</t>
        </is>
      </c>
      <c r="B16" s="15" t="n"/>
    </row>
    <row r="17" ht="30" customHeight="1">
      <c r="A17" s="14" t="inlineStr">
        <is>
          <t>The one change for the next test</t>
        </is>
      </c>
      <c r="B17" s="15" t="n"/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Ad Test Planner</dc:title>
  <dcterms:created xmlns:dcterms="http://purl.org/dc/terms/" xmlns:xsi="http://www.w3.org/2001/XMLSchema-instance" xsi:type="dcterms:W3CDTF">2026-10-20T03:16:41Z</dcterms:created>
  <dcterms:modified xmlns:dcterms="http://purl.org/dc/terms/" xmlns:xsi="http://www.w3.org/2001/XMLSchema-instance" xsi:type="dcterms:W3CDTF">2026-10-20T03:16:41Z</dcterms:modified>
</cp:coreProperties>
</file>