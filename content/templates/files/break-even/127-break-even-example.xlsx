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Monthly costs" sheetId="2" state="visible" r:id="rId2"/>
    <sheet xmlns:r="http://schemas.openxmlformats.org/officeDocument/2006/relationships" name="Break-even" sheetId="3" state="visible" r:id="rId3"/>
  </sheets>
  <definedNames>
    <definedName name="_xlnm._FilterDatabase" localSheetId="1" hidden="1">'Monthly costs'!$A$3:$C$23</definedName>
    <definedName name="_xlnm.Print_Titles" localSheetId="1">'Monthly costs'!$3:$3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&quot;$&quot;#,##0.00"/>
    <numFmt numFmtId="166" formatCode="0.0%"/>
    <numFmt numFmtId="167" formatCode="#,##0.0"/>
  </numFmts>
  <fonts count="13">
    <font>
      <name val="Calibri"/>
      <family val="2"/>
      <color theme="1"/>
      <sz val="11"/>
      <scheme val="minor"/>
    </font>
    <font>
      <name val="Arial"/>
      <b val="1"/>
      <color rgb="007B7B86"/>
      <sz val="9"/>
    </font>
    <font>
      <name val="Arial"/>
      <b val="1"/>
      <color rgb="00060607"/>
      <sz val="22"/>
    </font>
    <font>
      <name val="Arial"/>
      <color rgb="005A5A66"/>
      <sz val="11"/>
    </font>
    <font>
      <name val="Arial"/>
      <b val="1"/>
      <color rgb="001B1B20"/>
      <sz val="10"/>
    </font>
    <font>
      <name val="Arial"/>
      <color rgb="001B1B20"/>
      <sz val="11"/>
    </font>
    <font>
      <name val="Arial"/>
      <color rgb="001B1B20"/>
      <sz val="10"/>
    </font>
    <font>
      <name val="Arial"/>
      <color rgb="005A5A66"/>
      <sz val="10"/>
    </font>
    <font>
      <name val="Arial"/>
      <i val="1"/>
      <color rgb="005A5A66"/>
      <sz val="10"/>
    </font>
    <font>
      <name val="Arial"/>
      <color rgb="007B7B86"/>
      <sz val="8"/>
    </font>
    <font>
      <name val="Arial"/>
      <b val="1"/>
      <color rgb="00060607"/>
      <sz val="14"/>
    </font>
    <font>
      <name val="Arial"/>
      <color rgb="007B7B86"/>
      <sz val="9"/>
    </font>
    <font>
      <name val="Arial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ECEEFB"/>
        <bgColor rgb="00ECEEFB"/>
      </patternFill>
    </fill>
    <fill>
      <patternFill patternType="solid">
        <fgColor rgb="00FFFFFF"/>
        <bgColor rgb="00FFFFFF"/>
      </patternFill>
    </fill>
    <fill>
      <patternFill patternType="solid">
        <fgColor rgb="00F2F2F5"/>
        <bgColor rgb="00F2F2F5"/>
      </patternFill>
    </fill>
    <fill>
      <patternFill patternType="solid">
        <fgColor rgb="00060607"/>
        <bgColor rgb="00060607"/>
      </patternFill>
    </fill>
  </fills>
  <borders count="4">
    <border>
      <left/>
      <right/>
      <top/>
      <bottom/>
      <diagonal/>
    </border>
    <border>
      <left style="thin">
        <color rgb="00D9D9DE"/>
      </left>
      <right style="thin">
        <color rgb="00D9D9DE"/>
      </right>
      <top style="thin">
        <color rgb="00D9D9DE"/>
      </top>
      <bottom style="thin">
        <color rgb="00D9D9DE"/>
      </bottom>
    </border>
    <border>
      <left style="thin">
        <color rgb="003A3A44"/>
      </left>
      <right style="thin">
        <color rgb="003A3A44"/>
      </right>
    </border>
    <border>
      <bottom style="thin">
        <color rgb="00D9D9DE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wrapText="1"/>
    </xf>
    <xf numFmtId="0" fontId="5" fillId="0" borderId="0" applyAlignment="1" pivotButton="0" quotePrefix="0" xfId="0">
      <alignment vertical="top" wrapText="1"/>
    </xf>
    <xf numFmtId="0" fontId="6" fillId="3" borderId="1" pivotButton="0" quotePrefix="0" xfId="0"/>
    <xf numFmtId="0" fontId="6" fillId="4" borderId="1" pivotButton="0" quotePrefix="0" xfId="0"/>
    <xf numFmtId="0" fontId="6" fillId="2" borderId="1" pivotButton="0" quotePrefix="0" xfId="0"/>
    <xf numFmtId="0" fontId="7" fillId="0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4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5" borderId="2" applyAlignment="1" pivotButton="0" quotePrefix="0" xfId="0">
      <alignment horizontal="left" vertical="center" wrapText="1"/>
    </xf>
    <xf numFmtId="0" fontId="6" fillId="3" borderId="1" applyAlignment="1" pivotButton="0" quotePrefix="0" xfId="0">
      <alignment vertical="top" wrapText="1"/>
    </xf>
    <xf numFmtId="164" fontId="6" fillId="3" borderId="1" applyAlignment="1" pivotButton="0" quotePrefix="0" xfId="0">
      <alignment vertical="top"/>
    </xf>
    <xf numFmtId="0" fontId="6" fillId="0" borderId="3" applyAlignment="1" pivotButton="0" quotePrefix="0" xfId="0">
      <alignment vertical="top" wrapText="1"/>
    </xf>
    <xf numFmtId="164" fontId="6" fillId="4" borderId="1" applyAlignment="1" pivotButton="0" quotePrefix="0" xfId="0">
      <alignment vertical="top" wrapText="1"/>
    </xf>
    <xf numFmtId="165" fontId="6" fillId="3" borderId="1" applyAlignment="1" pivotButton="0" quotePrefix="0" xfId="0">
      <alignment vertical="top" wrapText="1"/>
    </xf>
    <xf numFmtId="166" fontId="6" fillId="3" borderId="1" applyAlignment="1" pivotButton="0" quotePrefix="0" xfId="0">
      <alignment vertical="top" wrapText="1"/>
    </xf>
    <xf numFmtId="3" fontId="6" fillId="3" borderId="1" applyAlignment="1" pivotButton="0" quotePrefix="0" xfId="0">
      <alignment vertical="top" wrapText="1"/>
    </xf>
    <xf numFmtId="165" fontId="6" fillId="4" borderId="1" applyAlignment="1" pivotButton="0" quotePrefix="0" xfId="0">
      <alignment vertical="top" wrapText="1"/>
    </xf>
    <xf numFmtId="0" fontId="4" fillId="0" borderId="3" applyAlignment="1" pivotButton="0" quotePrefix="0" xfId="0">
      <alignment vertical="top" wrapText="1"/>
    </xf>
    <xf numFmtId="3" fontId="4" fillId="2" borderId="1" applyAlignment="1" pivotButton="0" quotePrefix="0" xfId="0">
      <alignment vertical="top" wrapText="1"/>
    </xf>
    <xf numFmtId="167" fontId="6" fillId="4" borderId="1" applyAlignment="1" pivotButton="0" quotePrefix="0" xfId="0">
      <alignment vertical="top" wrapText="1"/>
    </xf>
    <xf numFmtId="167" fontId="4" fillId="2" borderId="1" applyAlignment="1" pivotButton="0" quotePrefix="0" xfId="0">
      <alignment vertical="top" wrapText="1"/>
    </xf>
    <xf numFmtId="164" fontId="4" fillId="2" borderId="1" applyAlignment="1" pivotButton="0" quotePrefix="0" xfId="0">
      <alignment vertical="top" wrapText="1"/>
    </xf>
    <xf numFmtId="9" fontId="6" fillId="4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8"/>
  <sheetViews>
    <sheetView showGridLines="0" tabSelected="1" workbookViewId="0">
      <selection activeCell="A1" sqref="A1"/>
    </sheetView>
  </sheetViews>
  <sheetFormatPr baseColWidth="8" defaultRowHeight="15"/>
  <cols>
    <col width="3" customWidth="1" min="1" max="1"/>
    <col width="96" customWidth="1" min="2" max="2"/>
  </cols>
  <sheetData>
    <row r="2">
      <c r="B2" s="1" t="inlineStr">
        <is>
          <t>127  ·  START TRACK  ·  FREE</t>
        </is>
      </c>
    </row>
    <row r="3" ht="34" customHeight="1">
      <c r="B3" s="2" t="inlineStr">
        <is>
          <t>Break-Even  (filled example)</t>
        </is>
      </c>
    </row>
    <row r="4" ht="30" customHeight="1">
      <c r="B4" s="3" t="inlineStr">
        <is>
          <t>List your monthly costs, set your price, and see exactly how many sales a month cover everything, down to sales per workday.</t>
        </is>
      </c>
    </row>
    <row r="6" ht="30" customHeight="1">
      <c r="B6" s="4" t="inlineStr">
        <is>
          <t>This copy is filled in with a made-up example so you can see what good looks like. Use the blank file for your own business.</t>
        </is>
      </c>
    </row>
    <row r="8">
      <c r="B8" s="1" t="inlineStr">
        <is>
          <t>HOW TO USE IT</t>
        </is>
      </c>
    </row>
    <row r="9" ht="32" customHeight="1">
      <c r="B9" s="5" t="inlineStr">
        <is>
          <t>1.  Monthly costs: list everything you pay every month, whether you sell or not. Include pay to yourself if you need it.</t>
        </is>
      </c>
    </row>
    <row r="10" ht="16" customHeight="1">
      <c r="B10" s="5" t="inlineStr">
        <is>
          <t>2.  Break-even: type your price and what one sale costs you to deliver.</t>
        </is>
      </c>
    </row>
    <row r="11" ht="16" customHeight="1">
      <c r="B11" s="5" t="inlineStr">
        <is>
          <t>3.  Type how many sales you honestly expect in a month.</t>
        </is>
      </c>
    </row>
    <row r="12" ht="16" customHeight="1">
      <c r="B12" s="5" t="inlineStr">
        <is>
          <t>4.  Read the lilac rows: sales a month to break even, per week and per workday.</t>
        </is>
      </c>
    </row>
    <row r="13" ht="32" customHeight="1">
      <c r="B13" s="5" t="inlineStr">
        <is>
          <t>5.  Below break-even? Cut a monthly cost, raise the price, or add a higher-priced option. Change one number at a time.</t>
        </is>
      </c>
    </row>
    <row r="15">
      <c r="B15" s="1" t="inlineStr">
        <is>
          <t>CELL COLORS</t>
        </is>
      </c>
    </row>
    <row r="16">
      <c r="B16" s="6" t="inlineStr">
        <is>
          <t>White cells: you type here.</t>
        </is>
      </c>
    </row>
    <row r="17">
      <c r="B17" s="7" t="inlineStr">
        <is>
          <t>Grey cells: calculated for you. Leave them alone.</t>
        </is>
      </c>
    </row>
    <row r="18">
      <c r="B18" s="8" t="inlineStr">
        <is>
          <t>Lilac cells: the answer you came for.</t>
        </is>
      </c>
    </row>
    <row r="20">
      <c r="B20" s="1" t="inlineStr">
        <is>
          <t>OPEN IT ANYWHERE</t>
        </is>
      </c>
    </row>
    <row r="21" ht="30" customHeight="1">
      <c r="B21" s="9" t="inlineStr">
        <is>
          <t>Google Sheets: go to sheets.new, then File &gt; Import &gt; Upload this file &gt; Replace spreadsheet. Formulas and dropdowns come with it.</t>
        </is>
      </c>
    </row>
    <row r="22" ht="15" customHeight="1">
      <c r="B22" s="9" t="inlineStr">
        <is>
          <t>Excel: double-click the file. Numbers on a Mac: open it with Numbers.</t>
        </is>
      </c>
    </row>
    <row r="23" ht="15" customHeight="1">
      <c r="B23" s="9" t="inlineStr">
        <is>
          <t>Phone: upload it to Google Drive, then open it in the Google Sheets app.</t>
        </is>
      </c>
    </row>
    <row r="25" ht="15" customHeight="1">
      <c r="B25" s="10" t="inlineStr">
        <is>
          <t>Not financial advice. Check your local rules or ask a professional about taxes.</t>
        </is>
      </c>
    </row>
    <row r="27">
      <c r="B27" s="11" t="inlineStr">
        <is>
          <t>Make today day one.  ·  127group.io</t>
        </is>
      </c>
    </row>
    <row r="28">
      <c r="B28" s="12" t="inlineStr">
        <is>
          <t>Template drafted from Eli Christiansen's frameworks. © 127 Group LLC. For your own business use.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23"/>
  <sheetViews>
    <sheetView showGridLines="0" tabSelected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34" customWidth="1" min="3" max="3"/>
  </cols>
  <sheetData>
    <row r="1" ht="26" customHeight="1">
      <c r="A1" s="13" t="inlineStr">
        <is>
          <t>Monthly costs (you pay these even with zero sales)</t>
        </is>
      </c>
    </row>
    <row r="2" ht="16" customHeight="1">
      <c r="A2" s="14" t="inlineStr">
        <is>
          <t>One line per cost. Yearly bills: divide by 12.</t>
        </is>
      </c>
    </row>
    <row r="3" ht="40" customHeight="1">
      <c r="A3" s="15" t="inlineStr">
        <is>
          <t>Monthly cost</t>
        </is>
      </c>
      <c r="B3" s="15" t="inlineStr">
        <is>
          <t>Per month ($)</t>
        </is>
      </c>
      <c r="C3" s="15" t="inlineStr">
        <is>
          <t>Note</t>
        </is>
      </c>
    </row>
    <row r="4">
      <c r="A4" s="16" t="inlineStr">
        <is>
          <t>Booking and payments app</t>
        </is>
      </c>
      <c r="B4" s="17" t="n">
        <v>29</v>
      </c>
      <c r="C4" s="16" t="inlineStr">
        <is>
          <t>Check current pricing</t>
        </is>
      </c>
    </row>
    <row r="5">
      <c r="A5" s="16" t="inlineStr">
        <is>
          <t>Phone plan share</t>
        </is>
      </c>
      <c r="B5" s="17" t="n">
        <v>25</v>
      </c>
      <c r="C5" s="16" t="n"/>
    </row>
    <row r="6">
      <c r="A6" s="16" t="inlineStr">
        <is>
          <t>Insurance</t>
        </is>
      </c>
      <c r="B6" s="17" t="n">
        <v>40</v>
      </c>
      <c r="C6" s="16" t="inlineStr">
        <is>
          <t>Ask a local agent</t>
        </is>
      </c>
    </row>
    <row r="7">
      <c r="A7" s="16" t="inlineStr">
        <is>
          <t>Vehicle and gas, base</t>
        </is>
      </c>
      <c r="B7" s="17" t="n">
        <v>120</v>
      </c>
      <c r="C7" s="16" t="n"/>
    </row>
    <row r="8">
      <c r="A8" s="16" t="inlineStr">
        <is>
          <t>Pay to yourself</t>
        </is>
      </c>
      <c r="B8" s="17" t="n">
        <v>800</v>
      </c>
      <c r="C8" s="16" t="inlineStr">
        <is>
          <t>The least you need</t>
        </is>
      </c>
    </row>
    <row r="9">
      <c r="A9" s="16" t="n"/>
      <c r="B9" s="17" t="n"/>
      <c r="C9" s="16" t="n"/>
    </row>
    <row r="10">
      <c r="A10" s="16" t="n"/>
      <c r="B10" s="17" t="n"/>
      <c r="C10" s="16" t="n"/>
    </row>
    <row r="11">
      <c r="A11" s="16" t="n"/>
      <c r="B11" s="17" t="n"/>
      <c r="C11" s="16" t="n"/>
    </row>
    <row r="12">
      <c r="A12" s="16" t="n"/>
      <c r="B12" s="17" t="n"/>
      <c r="C12" s="16" t="n"/>
    </row>
    <row r="13">
      <c r="A13" s="16" t="n"/>
      <c r="B13" s="17" t="n"/>
      <c r="C13" s="16" t="n"/>
    </row>
    <row r="14">
      <c r="A14" s="16" t="n"/>
      <c r="B14" s="17" t="n"/>
      <c r="C14" s="16" t="n"/>
    </row>
    <row r="15">
      <c r="A15" s="16" t="n"/>
      <c r="B15" s="17" t="n"/>
      <c r="C15" s="16" t="n"/>
    </row>
    <row r="16">
      <c r="A16" s="16" t="n"/>
      <c r="B16" s="17" t="n"/>
      <c r="C16" s="16" t="n"/>
    </row>
    <row r="17">
      <c r="A17" s="16" t="n"/>
      <c r="B17" s="17" t="n"/>
      <c r="C17" s="16" t="n"/>
    </row>
    <row r="18">
      <c r="A18" s="16" t="n"/>
      <c r="B18" s="17" t="n"/>
      <c r="C18" s="16" t="n"/>
    </row>
    <row r="19">
      <c r="A19" s="16" t="n"/>
      <c r="B19" s="17" t="n"/>
      <c r="C19" s="16" t="n"/>
    </row>
    <row r="20">
      <c r="A20" s="16" t="n"/>
      <c r="B20" s="17" t="n"/>
      <c r="C20" s="16" t="n"/>
    </row>
    <row r="21">
      <c r="A21" s="16" t="n"/>
      <c r="B21" s="17" t="n"/>
      <c r="C21" s="16" t="n"/>
    </row>
    <row r="22">
      <c r="A22" s="16" t="n"/>
      <c r="B22" s="17" t="n"/>
      <c r="C22" s="16" t="n"/>
    </row>
    <row r="23">
      <c r="A23" s="16" t="n"/>
      <c r="B23" s="17" t="n"/>
      <c r="C23" s="16" t="n"/>
    </row>
  </sheetData>
  <autoFilter ref="A3:C23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22"/>
  <sheetViews>
    <sheetView showGridLines="0" tabSelected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</cols>
  <sheetData>
    <row r="1" ht="26" customHeight="1">
      <c r="A1" s="13" t="inlineStr">
        <is>
          <t>Break-Even</t>
        </is>
      </c>
    </row>
    <row r="2">
      <c r="A2" s="14" t="inlineStr">
        <is>
          <t>Monthly costs come from the other tab. Type the rest here.</t>
        </is>
      </c>
    </row>
    <row r="4">
      <c r="A4" s="1" t="inlineStr">
        <is>
          <t>YOUR NUMBERS</t>
        </is>
      </c>
    </row>
    <row r="5">
      <c r="A5" s="18" t="inlineStr">
        <is>
          <t>Monthly costs from the list ($)</t>
        </is>
      </c>
      <c r="B5" s="19">
        <f>SUM('Monthly costs'!$B$4:$B$23)</f>
        <v/>
      </c>
    </row>
    <row r="6">
      <c r="A6" s="18" t="inlineStr">
        <is>
          <t>Price of one sale ($)</t>
        </is>
      </c>
      <c r="B6" s="20" t="n">
        <v>60</v>
      </c>
    </row>
    <row r="7">
      <c r="A7" s="18" t="inlineStr">
        <is>
          <t>Cost to deliver one sale ($)</t>
        </is>
      </c>
      <c r="B7" s="20" t="n">
        <v>8</v>
      </c>
    </row>
    <row r="8">
      <c r="A8" s="18" t="inlineStr">
        <is>
          <t>Payment fee, percent (check your processor)</t>
        </is>
      </c>
      <c r="B8" s="21" t="n">
        <v>0.03</v>
      </c>
    </row>
    <row r="9">
      <c r="A9" s="18" t="inlineStr">
        <is>
          <t>Workdays per month</t>
        </is>
      </c>
      <c r="B9" s="22" t="n">
        <v>20</v>
      </c>
    </row>
    <row r="10">
      <c r="A10" s="18" t="inlineStr">
        <is>
          <t>Sales you honestly expect per month</t>
        </is>
      </c>
      <c r="B10" s="22" t="n">
        <v>22</v>
      </c>
    </row>
    <row r="12">
      <c r="A12" s="1" t="inlineStr">
        <is>
          <t>BREAK-EVEN</t>
        </is>
      </c>
    </row>
    <row r="13">
      <c r="A13" s="18" t="inlineStr">
        <is>
          <t>What each sale leaves to cover costs ($)</t>
        </is>
      </c>
      <c r="B13" s="23">
        <f>IF($B$6="","",$B$6-N($B$7)-$B$6*N($B$8))</f>
        <v/>
      </c>
    </row>
    <row r="14">
      <c r="A14" s="24" t="inlineStr">
        <is>
          <t>Sales per month to break even</t>
        </is>
      </c>
      <c r="B14" s="25">
        <f>IF(OR($B$13="",N($B$13)&lt;=0),"",ROUNDUP($B$5/$B$13,0))</f>
        <v/>
      </c>
    </row>
    <row r="15">
      <c r="A15" s="18" t="inlineStr">
        <is>
          <t>Revenue per month to break even ($)</t>
        </is>
      </c>
      <c r="B15" s="19">
        <f>IF($B$14="","",$B$14*$B$6)</f>
        <v/>
      </c>
    </row>
    <row r="16">
      <c r="A16" s="18" t="inlineStr">
        <is>
          <t>Sales per week</t>
        </is>
      </c>
      <c r="B16" s="26">
        <f>IF($B$14="","",$B$14/4.33)</f>
        <v/>
      </c>
    </row>
    <row r="17">
      <c r="A17" s="24" t="inlineStr">
        <is>
          <t>Sales per workday</t>
        </is>
      </c>
      <c r="B17" s="27">
        <f>IF(OR($B$14="",N($B$9)=0),"",$B$14/$B$9)</f>
        <v/>
      </c>
    </row>
    <row r="19">
      <c r="A19" s="1" t="inlineStr">
        <is>
          <t>AGAINST WHAT YOU EXPECT</t>
        </is>
      </c>
    </row>
    <row r="20">
      <c r="A20" s="24" t="inlineStr">
        <is>
          <t>Profit or loss at expected sales ($)</t>
        </is>
      </c>
      <c r="B20" s="28">
        <f>IF(OR($B$10="",$B$13=""),"",$B$10*$B$13-$B$5)</f>
        <v/>
      </c>
    </row>
    <row r="21">
      <c r="A21" s="18" t="inlineStr">
        <is>
          <t>Cushion above break-even</t>
        </is>
      </c>
      <c r="B21" s="29">
        <f>IF(OR($B$10="",N($B$10)=0,$B$14=""),"",($B$10-$B$14)/$B$10)</f>
        <v/>
      </c>
    </row>
    <row r="22" ht="44" customHeight="1">
      <c r="A22" s="24" t="inlineStr">
        <is>
          <t>Read</t>
        </is>
      </c>
      <c r="B22" s="30">
        <f>IF($B$6="","Type your price to start.",IF(N($B$13)&lt;=0,"Each sale costs more than it brings in. Fix the price or the cost per sale first.",IF($B$10="","Type the sales you expect to compare.",IF($B$10&gt;=$B$14,"Expected sales cover your costs. Every sale past "&amp;$B$14&amp;" is profit.","You expect "&amp;($B$14-$B$10)&amp;" fewer sales than you need. Cut a monthly cost, raise the price or add a bigger option."))))</f>
        <v/>
      </c>
    </row>
  </sheetData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127</dc:creator>
  <dc:title xmlns:dc="http://purl.org/dc/elements/1.1/">Break-Even</dc:title>
  <dcterms:created xmlns:dcterms="http://purl.org/dc/terms/" xmlns:xsi="http://www.w3.org/2001/XMLSchema-instance" xsi:type="dcterms:W3CDTF">2026-10-20T03:32:26Z</dcterms:created>
  <dcterms:modified xmlns:dcterms="http://purl.org/dc/terms/" xmlns:xsi="http://www.w3.org/2001/XMLSchema-instance" xsi:type="dcterms:W3CDTF">2026-10-20T03:32:26Z</dcterms:modified>
</cp:coreProperties>
</file>