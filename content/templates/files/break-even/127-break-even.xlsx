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onthly costs" sheetId="2" state="visible" r:id="rId2"/>
    <sheet xmlns:r="http://schemas.openxmlformats.org/officeDocument/2006/relationships" name="Break-even" sheetId="3" state="visible" r:id="rId3"/>
  </sheets>
  <definedNames>
    <definedName name="_xlnm._FilterDatabase" localSheetId="1" hidden="1">'Monthly costs'!$A$3:$C$23</definedName>
    <definedName name="_xlnm.Print_Titles" localSheetId="1">'Monthly costs'!$3:$3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&quot;$&quot;#,##0.00"/>
    <numFmt numFmtId="166" formatCode="0.0%"/>
    <numFmt numFmtId="167" formatCode="#,##0.0"/>
  </numFmts>
  <fonts count="13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b val="1"/>
      <color rgb="001B1B20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ECEEFB"/>
        <bgColor rgb="00ECEEFB"/>
      </patternFill>
    </fill>
    <fill>
      <patternFill patternType="solid">
        <fgColor rgb="00060607"/>
        <bgColor rgb="00060607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left style="thin">
        <color rgb="003A3A44"/>
      </left>
      <right style="thin">
        <color rgb="003A3A44"/>
      </right>
    </border>
    <border>
      <bottom style="thin">
        <color rgb="00D9D9DE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5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vertical="top" wrapText="1"/>
    </xf>
    <xf numFmtId="164" fontId="5" fillId="2" borderId="1" applyAlignment="1" pivotButton="0" quotePrefix="0" xfId="0">
      <alignment vertical="top"/>
    </xf>
    <xf numFmtId="0" fontId="5" fillId="0" borderId="3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6" fontId="5" fillId="2" borderId="1" applyAlignment="1" pivotButton="0" quotePrefix="0" xfId="0">
      <alignment vertical="top" wrapText="1"/>
    </xf>
    <xf numFmtId="3" fontId="5" fillId="2" borderId="1" applyAlignment="1" pivotButton="0" quotePrefix="0" xfId="0">
      <alignment vertical="top" wrapText="1"/>
    </xf>
    <xf numFmtId="165" fontId="5" fillId="3" borderId="1" applyAlignment="1" pivotButton="0" quotePrefix="0" xfId="0">
      <alignment vertical="top" wrapText="1"/>
    </xf>
    <xf numFmtId="0" fontId="8" fillId="0" borderId="3" applyAlignment="1" pivotButton="0" quotePrefix="0" xfId="0">
      <alignment vertical="top" wrapText="1"/>
    </xf>
    <xf numFmtId="3" fontId="8" fillId="4" borderId="1" applyAlignment="1" pivotButton="0" quotePrefix="0" xfId="0">
      <alignment vertical="top" wrapText="1"/>
    </xf>
    <xf numFmtId="167" fontId="5" fillId="3" borderId="1" applyAlignment="1" pivotButton="0" quotePrefix="0" xfId="0">
      <alignment vertical="top" wrapText="1"/>
    </xf>
    <xf numFmtId="167" fontId="8" fillId="4" borderId="1" applyAlignment="1" pivotButton="0" quotePrefix="0" xfId="0">
      <alignment vertical="top" wrapText="1"/>
    </xf>
    <xf numFmtId="164" fontId="8" fillId="4" borderId="1" applyAlignment="1" pivotButton="0" quotePrefix="0" xfId="0">
      <alignment vertical="top" wrapText="1"/>
    </xf>
    <xf numFmtId="9" fontId="5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6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START TRACK  ·  FREE</t>
        </is>
      </c>
    </row>
    <row r="3" ht="34" customHeight="1">
      <c r="B3" s="2" t="inlineStr">
        <is>
          <t>Break-Even</t>
        </is>
      </c>
    </row>
    <row r="4" ht="30" customHeight="1">
      <c r="B4" s="3" t="inlineStr">
        <is>
          <t>List your monthly costs, set your price, and see exactly how many sales a month cover everything, down to sales per workday.</t>
        </is>
      </c>
    </row>
    <row r="6">
      <c r="B6" s="1" t="inlineStr">
        <is>
          <t>HOW TO USE IT</t>
        </is>
      </c>
    </row>
    <row r="7" ht="32" customHeight="1">
      <c r="B7" s="4" t="inlineStr">
        <is>
          <t>1.  Monthly costs: list everything you pay every month, whether you sell or not. Include pay to yourself if you need it.</t>
        </is>
      </c>
    </row>
    <row r="8" ht="16" customHeight="1">
      <c r="B8" s="4" t="inlineStr">
        <is>
          <t>2.  Break-even: type your price and what one sale costs you to deliver.</t>
        </is>
      </c>
    </row>
    <row r="9" ht="16" customHeight="1">
      <c r="B9" s="4" t="inlineStr">
        <is>
          <t>3.  Type how many sales you honestly expect in a month.</t>
        </is>
      </c>
    </row>
    <row r="10" ht="16" customHeight="1">
      <c r="B10" s="4" t="inlineStr">
        <is>
          <t>4.  Read the lilac rows: sales a month to break even, per week and per workday.</t>
        </is>
      </c>
    </row>
    <row r="11" ht="32" customHeight="1">
      <c r="B11" s="4" t="inlineStr">
        <is>
          <t>5.  Below break-even? Cut a monthly cost, raise the price, or add a higher-priced option. Change one number at a time.</t>
        </is>
      </c>
    </row>
    <row r="13">
      <c r="B13" s="1" t="inlineStr">
        <is>
          <t>CELL COLORS</t>
        </is>
      </c>
    </row>
    <row r="14">
      <c r="B14" s="5" t="inlineStr">
        <is>
          <t>White cells: you type here.</t>
        </is>
      </c>
    </row>
    <row r="15">
      <c r="B15" s="6" t="inlineStr">
        <is>
          <t>Grey cells: calculated for you. Leave them alone.</t>
        </is>
      </c>
    </row>
    <row r="16">
      <c r="B16" s="7" t="inlineStr">
        <is>
          <t>Lilac cells: the answer you came for.</t>
        </is>
      </c>
    </row>
    <row r="18">
      <c r="B18" s="1" t="inlineStr">
        <is>
          <t>OPEN IT ANYWHERE</t>
        </is>
      </c>
    </row>
    <row r="19" ht="30" customHeight="1">
      <c r="B19" s="8" t="inlineStr">
        <is>
          <t>Google Sheets: go to sheets.new, then File &gt; Import &gt; Upload this file &gt; Replace spreadsheet. Formulas and dropdowns come with it.</t>
        </is>
      </c>
    </row>
    <row r="20" ht="15" customHeight="1">
      <c r="B20" s="8" t="inlineStr">
        <is>
          <t>Excel: double-click the file. Numbers on a Mac: open it with Numbers.</t>
        </is>
      </c>
    </row>
    <row r="21" ht="15" customHeight="1">
      <c r="B21" s="8" t="inlineStr">
        <is>
          <t>Phone: upload it to Google Drive, then open it in the Google Sheets app.</t>
        </is>
      </c>
    </row>
    <row r="23" ht="15" customHeight="1">
      <c r="B23" s="9" t="inlineStr">
        <is>
          <t>Not financial advice. Check your local rules or ask a professional about taxes.</t>
        </is>
      </c>
    </row>
    <row r="25">
      <c r="B25" s="10" t="inlineStr">
        <is>
          <t>Make today day one.  ·  127group.io</t>
        </is>
      </c>
    </row>
    <row r="26">
      <c r="B26" s="11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4" customWidth="1" min="3" max="3"/>
  </cols>
  <sheetData>
    <row r="1" ht="26" customHeight="1">
      <c r="A1" s="12" t="inlineStr">
        <is>
          <t>Monthly costs (you pay these even with zero sales)</t>
        </is>
      </c>
    </row>
    <row r="2" ht="16" customHeight="1">
      <c r="A2" s="13" t="inlineStr">
        <is>
          <t>One line per cost. Yearly bills: divide by 12.</t>
        </is>
      </c>
    </row>
    <row r="3" ht="40" customHeight="1">
      <c r="A3" s="14" t="inlineStr">
        <is>
          <t>Monthly cost</t>
        </is>
      </c>
      <c r="B3" s="14" t="inlineStr">
        <is>
          <t>Per month ($)</t>
        </is>
      </c>
      <c r="C3" s="14" t="inlineStr">
        <is>
          <t>Note</t>
        </is>
      </c>
    </row>
    <row r="4">
      <c r="A4" s="15" t="n"/>
      <c r="B4" s="16" t="n"/>
      <c r="C4" s="15" t="n"/>
    </row>
    <row r="5">
      <c r="A5" s="15" t="n"/>
      <c r="B5" s="16" t="n"/>
      <c r="C5" s="15" t="n"/>
    </row>
    <row r="6">
      <c r="A6" s="15" t="n"/>
      <c r="B6" s="16" t="n"/>
      <c r="C6" s="15" t="n"/>
    </row>
    <row r="7">
      <c r="A7" s="15" t="n"/>
      <c r="B7" s="16" t="n"/>
      <c r="C7" s="15" t="n"/>
    </row>
    <row r="8">
      <c r="A8" s="15" t="n"/>
      <c r="B8" s="16" t="n"/>
      <c r="C8" s="15" t="n"/>
    </row>
    <row r="9">
      <c r="A9" s="15" t="n"/>
      <c r="B9" s="16" t="n"/>
      <c r="C9" s="15" t="n"/>
    </row>
    <row r="10">
      <c r="A10" s="15" t="n"/>
      <c r="B10" s="16" t="n"/>
      <c r="C10" s="15" t="n"/>
    </row>
    <row r="11">
      <c r="A11" s="15" t="n"/>
      <c r="B11" s="16" t="n"/>
      <c r="C11" s="15" t="n"/>
    </row>
    <row r="12">
      <c r="A12" s="15" t="n"/>
      <c r="B12" s="16" t="n"/>
      <c r="C12" s="15" t="n"/>
    </row>
    <row r="13">
      <c r="A13" s="15" t="n"/>
      <c r="B13" s="16" t="n"/>
      <c r="C13" s="15" t="n"/>
    </row>
    <row r="14">
      <c r="A14" s="15" t="n"/>
      <c r="B14" s="16" t="n"/>
      <c r="C14" s="15" t="n"/>
    </row>
    <row r="15">
      <c r="A15" s="15" t="n"/>
      <c r="B15" s="16" t="n"/>
      <c r="C15" s="15" t="n"/>
    </row>
    <row r="16">
      <c r="A16" s="15" t="n"/>
      <c r="B16" s="16" t="n"/>
      <c r="C16" s="15" t="n"/>
    </row>
    <row r="17">
      <c r="A17" s="15" t="n"/>
      <c r="B17" s="16" t="n"/>
      <c r="C17" s="15" t="n"/>
    </row>
    <row r="18">
      <c r="A18" s="15" t="n"/>
      <c r="B18" s="16" t="n"/>
      <c r="C18" s="15" t="n"/>
    </row>
    <row r="19">
      <c r="A19" s="15" t="n"/>
      <c r="B19" s="16" t="n"/>
      <c r="C19" s="15" t="n"/>
    </row>
    <row r="20">
      <c r="A20" s="15" t="n"/>
      <c r="B20" s="16" t="n"/>
      <c r="C20" s="15" t="n"/>
    </row>
    <row r="21">
      <c r="A21" s="15" t="n"/>
      <c r="B21" s="16" t="n"/>
      <c r="C21" s="15" t="n"/>
    </row>
    <row r="22">
      <c r="A22" s="15" t="n"/>
      <c r="B22" s="16" t="n"/>
      <c r="C22" s="15" t="n"/>
    </row>
    <row r="23">
      <c r="A23" s="15" t="n"/>
      <c r="B23" s="16" t="n"/>
      <c r="C23" s="15" t="n"/>
    </row>
  </sheetData>
  <autoFilter ref="A3:C23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2"/>
  <sheetViews>
    <sheetView showGridLines="0" tabSelected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</cols>
  <sheetData>
    <row r="1" ht="26" customHeight="1">
      <c r="A1" s="12" t="inlineStr">
        <is>
          <t>Break-Even</t>
        </is>
      </c>
    </row>
    <row r="2">
      <c r="A2" s="13" t="inlineStr">
        <is>
          <t>Monthly costs come from the other tab. Type the rest here.</t>
        </is>
      </c>
    </row>
    <row r="4">
      <c r="A4" s="1" t="inlineStr">
        <is>
          <t>YOUR NUMBERS</t>
        </is>
      </c>
    </row>
    <row r="5">
      <c r="A5" s="17" t="inlineStr">
        <is>
          <t>Monthly costs from the list ($)</t>
        </is>
      </c>
      <c r="B5" s="18">
        <f>SUM('Monthly costs'!$B$4:$B$23)</f>
        <v/>
      </c>
    </row>
    <row r="6">
      <c r="A6" s="17" t="inlineStr">
        <is>
          <t>Price of one sale ($)</t>
        </is>
      </c>
      <c r="B6" s="19" t="n"/>
    </row>
    <row r="7">
      <c r="A7" s="17" t="inlineStr">
        <is>
          <t>Cost to deliver one sale ($)</t>
        </is>
      </c>
      <c r="B7" s="19" t="n"/>
    </row>
    <row r="8">
      <c r="A8" s="17" t="inlineStr">
        <is>
          <t>Payment fee, percent (check your processor)</t>
        </is>
      </c>
      <c r="B8" s="20" t="n"/>
    </row>
    <row r="9">
      <c r="A9" s="17" t="inlineStr">
        <is>
          <t>Workdays per month</t>
        </is>
      </c>
      <c r="B9" s="21" t="n">
        <v>20</v>
      </c>
    </row>
    <row r="10">
      <c r="A10" s="17" t="inlineStr">
        <is>
          <t>Sales you honestly expect per month</t>
        </is>
      </c>
      <c r="B10" s="21" t="n"/>
    </row>
    <row r="12">
      <c r="A12" s="1" t="inlineStr">
        <is>
          <t>BREAK-EVEN</t>
        </is>
      </c>
    </row>
    <row r="13">
      <c r="A13" s="17" t="inlineStr">
        <is>
          <t>What each sale leaves to cover costs ($)</t>
        </is>
      </c>
      <c r="B13" s="22">
        <f>IF($B$6="","",$B$6-N($B$7)-$B$6*N($B$8))</f>
        <v/>
      </c>
    </row>
    <row r="14">
      <c r="A14" s="23" t="inlineStr">
        <is>
          <t>Sales per month to break even</t>
        </is>
      </c>
      <c r="B14" s="24">
        <f>IF(OR($B$13="",N($B$13)&lt;=0),"",ROUNDUP($B$5/$B$13,0))</f>
        <v/>
      </c>
    </row>
    <row r="15">
      <c r="A15" s="17" t="inlineStr">
        <is>
          <t>Revenue per month to break even ($)</t>
        </is>
      </c>
      <c r="B15" s="18">
        <f>IF($B$14="","",$B$14*$B$6)</f>
        <v/>
      </c>
    </row>
    <row r="16">
      <c r="A16" s="17" t="inlineStr">
        <is>
          <t>Sales per week</t>
        </is>
      </c>
      <c r="B16" s="25">
        <f>IF($B$14="","",$B$14/4.33)</f>
        <v/>
      </c>
    </row>
    <row r="17">
      <c r="A17" s="23" t="inlineStr">
        <is>
          <t>Sales per workday</t>
        </is>
      </c>
      <c r="B17" s="26">
        <f>IF(OR($B$14="",N($B$9)=0),"",$B$14/$B$9)</f>
        <v/>
      </c>
    </row>
    <row r="19">
      <c r="A19" s="1" t="inlineStr">
        <is>
          <t>AGAINST WHAT YOU EXPECT</t>
        </is>
      </c>
    </row>
    <row r="20">
      <c r="A20" s="23" t="inlineStr">
        <is>
          <t>Profit or loss at expected sales ($)</t>
        </is>
      </c>
      <c r="B20" s="27">
        <f>IF(OR($B$10="",$B$13=""),"",$B$10*$B$13-$B$5)</f>
        <v/>
      </c>
    </row>
    <row r="21">
      <c r="A21" s="17" t="inlineStr">
        <is>
          <t>Cushion above break-even</t>
        </is>
      </c>
      <c r="B21" s="28">
        <f>IF(OR($B$10="",N($B$10)=0,$B$14=""),"",($B$10-$B$14)/$B$10)</f>
        <v/>
      </c>
    </row>
    <row r="22" ht="44" customHeight="1">
      <c r="A22" s="23" t="inlineStr">
        <is>
          <t>Read</t>
        </is>
      </c>
      <c r="B22" s="29">
        <f>IF($B$6="","Type your price to start.",IF(N($B$13)&lt;=0,"Each sale costs more than it brings in. Fix the price or the cost per sale first.",IF($B$10="","Type the sales you expect to compare.",IF($B$10&gt;=$B$14,"Expected sales cover your costs. Every sale past "&amp;$B$14&amp;" is profit.","You expect "&amp;($B$14-$B$10)&amp;" fewer sales than you need. Cut a monthly cost, raise the price or add a bigger option."))))</f>
        <v/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Break-Even</dc:title>
  <dcterms:created xmlns:dcterms="http://purl.org/dc/terms/" xmlns:xsi="http://www.w3.org/2001/XMLSchema-instance" xsi:type="dcterms:W3CDTF">2026-10-20T03:32:26Z</dcterms:created>
  <dcterms:modified xmlns:dcterms="http://purl.org/dc/terms/" xmlns:xsi="http://www.w3.org/2001/XMLSchema-instance" xsi:type="dcterms:W3CDTF">2026-10-20T03:32:26Z</dcterms:modified>
</cp:coreProperties>
</file>