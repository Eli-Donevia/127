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eal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1" hidden="1">'Deals'!$A$3:$L$63</definedName>
    <definedName name="_xlnm.Print_Titles" localSheetId="1">'Deals'!$3:$3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d, mmm d"/>
    <numFmt numFmtId="165" formatCode="&quot;$&quot;#,##0"/>
  </numFmts>
  <fonts count="14">
    <font>
      <name val="Calibri"/>
      <family val="2"/>
      <color theme="1"/>
      <sz val="11"/>
      <scheme val="minor"/>
    </font>
    <font>
      <name val="Arial"/>
      <b val="1"/>
      <color rgb="007B7B86"/>
      <sz val="9"/>
    </font>
    <font>
      <name val="Arial"/>
      <b val="1"/>
      <color rgb="00060607"/>
      <sz val="22"/>
    </font>
    <font>
      <name val="Arial"/>
      <color rgb="005A5A66"/>
      <sz val="11"/>
    </font>
    <font>
      <name val="Arial"/>
      <b val="1"/>
      <color rgb="001B1B20"/>
      <sz val="10"/>
    </font>
    <font>
      <name val="Arial"/>
      <color rgb="001B1B20"/>
      <sz val="11"/>
    </font>
    <font>
      <name val="Arial"/>
      <color rgb="001B1B20"/>
      <sz val="10"/>
    </font>
    <font>
      <name val="Arial"/>
      <color rgb="005A5A66"/>
      <sz val="10"/>
    </font>
    <font>
      <name val="Arial"/>
      <i val="1"/>
      <color rgb="005A5A66"/>
      <sz val="10"/>
    </font>
    <font>
      <name val="Arial"/>
      <color rgb="007B7B86"/>
      <sz val="8"/>
    </font>
    <font>
      <name val="Arial"/>
      <b val="1"/>
      <color rgb="00060607"/>
      <sz val="14"/>
    </font>
    <font>
      <name val="Arial"/>
      <color rgb="007B7B86"/>
      <sz val="9"/>
    </font>
    <font>
      <name val="Arial"/>
      <b val="1"/>
      <color rgb="00FFFFFF"/>
      <sz val="9"/>
    </font>
    <font>
      <name val="Arial"/>
      <color rgb="003A3A44"/>
      <sz val="10"/>
    </font>
  </fonts>
  <fills count="7">
    <fill>
      <patternFill/>
    </fill>
    <fill>
      <patternFill patternType="gray125"/>
    </fill>
    <fill>
      <patternFill patternType="solid">
        <fgColor rgb="00ECEEFB"/>
        <bgColor rgb="00ECEEFB"/>
      </patternFill>
    </fill>
    <fill>
      <patternFill patternType="solid">
        <fgColor rgb="00FFFFFF"/>
        <bgColor rgb="00FFFFFF"/>
      </patternFill>
    </fill>
    <fill>
      <patternFill patternType="solid">
        <fgColor rgb="00F2F2F5"/>
        <bgColor rgb="00F2F2F5"/>
      </patternFill>
    </fill>
    <fill>
      <patternFill patternType="solid">
        <fgColor rgb="00060607"/>
        <bgColor rgb="00060607"/>
      </patternFill>
    </fill>
    <fill>
      <patternFill patternType="solid">
        <fgColor rgb="002B2B33"/>
        <bgColor rgb="002B2B33"/>
      </patternFill>
    </fill>
  </fills>
  <borders count="4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  <border>
      <left style="thin">
        <color rgb="003A3A44"/>
      </left>
      <right style="thin">
        <color rgb="003A3A44"/>
      </right>
    </border>
    <border>
      <bottom style="thin">
        <color rgb="00D9D9DE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6" fillId="3" borderId="1" pivotButton="0" quotePrefix="0" xfId="0"/>
    <xf numFmtId="0" fontId="6" fillId="4" borderId="1" pivotButton="0" quotePrefix="0" xfId="0"/>
    <xf numFmtId="0" fontId="6" fillId="2" borderId="1" pivotButton="0" quotePrefix="0" xfId="0"/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4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5" borderId="2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 wrapText="1"/>
    </xf>
    <xf numFmtId="0" fontId="6" fillId="3" borderId="1" applyAlignment="1" pivotButton="0" quotePrefix="0" xfId="0">
      <alignment vertical="top"/>
    </xf>
    <xf numFmtId="164" fontId="6" fillId="3" borderId="1" applyAlignment="1" pivotButton="0" quotePrefix="0" xfId="0">
      <alignment vertical="top"/>
    </xf>
    <xf numFmtId="0" fontId="6" fillId="3" borderId="1" applyAlignment="1" pivotButton="0" quotePrefix="0" xfId="0">
      <alignment vertical="top" wrapText="1"/>
    </xf>
    <xf numFmtId="165" fontId="6" fillId="3" borderId="1" applyAlignment="1" pivotButton="0" quotePrefix="0" xfId="0">
      <alignment vertical="top"/>
    </xf>
    <xf numFmtId="3" fontId="13" fillId="4" borderId="1" applyAlignment="1" pivotButton="0" quotePrefix="0" xfId="0">
      <alignment vertical="top"/>
    </xf>
    <xf numFmtId="0" fontId="4" fillId="2" borderId="1" applyAlignment="1" pivotButton="0" quotePrefix="0" xfId="0">
      <alignment vertical="top"/>
    </xf>
    <xf numFmtId="0" fontId="6" fillId="0" borderId="3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3" fontId="4" fillId="2" borderId="1" applyAlignment="1" pivotButton="0" quotePrefix="0" xfId="0">
      <alignment vertical="top" wrapText="1"/>
    </xf>
    <xf numFmtId="165" fontId="6" fillId="4" borderId="1" applyAlignment="1" pivotButton="0" quotePrefix="0" xfId="0">
      <alignment vertical="top" wrapText="1"/>
    </xf>
    <xf numFmtId="165" fontId="4" fillId="2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name val="Arial"/>
        <b val="1"/>
      </font>
      <fill>
        <patternFill patternType="solid">
          <fgColor rgb="00FFF3D6"/>
          <bgColor rgb="00FFF3D6"/>
        </patternFill>
      </fill>
    </dxf>
    <dxf>
      <fill>
        <patternFill patternType="solid">
          <fgColor rgb="00DDF3E7"/>
          <bgColor rgb="00DDF3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9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127  ·  GROW TRACK  ·  FREE</t>
        </is>
      </c>
    </row>
    <row r="3" ht="34" customHeight="1">
      <c r="B3" s="2" t="inlineStr">
        <is>
          <t>Brand Deal Tracker  (filled example)</t>
        </is>
      </c>
    </row>
    <row r="4" ht="30" customHeight="1">
      <c r="B4" s="3" t="inlineStr">
        <is>
          <t>Track every brand you pitch, from first message to paid, with follow-up flags, what each deal is worth and what is still owed to you.</t>
        </is>
      </c>
    </row>
    <row r="6" ht="30" customHeight="1">
      <c r="B6" s="4" t="inlineStr">
        <is>
          <t>This copy is filled in with a made-up example so you can see what good looks like. Use the blank file for your own business.</t>
        </is>
      </c>
    </row>
    <row r="8">
      <c r="B8" s="1" t="inlineStr">
        <is>
          <t>HOW TO USE IT</t>
        </is>
      </c>
    </row>
    <row r="9" ht="16" customHeight="1">
      <c r="B9" s="5" t="inlineStr">
        <is>
          <t>1.  One row per brand. Type who you pitched, where and when.</t>
        </is>
      </c>
    </row>
    <row r="10" ht="16" customHeight="1">
      <c r="B10" s="5" t="inlineStr">
        <is>
          <t>2.  Update Status as it moves: Pitched, Talking, Agreed, Delivered, Paid, or Passed.</t>
        </is>
      </c>
    </row>
    <row r="11" ht="16" customHeight="1">
      <c r="B11" s="5" t="inlineStr">
        <is>
          <t>3.  Agreed: type the deliverables, the rate and the due date.</t>
        </is>
      </c>
    </row>
    <row r="12" ht="16" customHeight="1">
      <c r="B12" s="5" t="inlineStr">
        <is>
          <t>4.  Delivered: type the date you sent the invoice. Paid: type the date the money landed.</t>
        </is>
      </c>
    </row>
    <row r="13" ht="32" customHeight="1">
      <c r="B13" s="5" t="inlineStr">
        <is>
          <t>5.  Read Follow up?. Pitched with no reply for five days or more: send one short, friendly follow-up.</t>
        </is>
      </c>
    </row>
    <row r="14" ht="16" customHeight="1">
      <c r="B14" s="5" t="inlineStr">
        <is>
          <t>6.  Read the Summary tab for what you have earned and what is still owed.</t>
        </is>
      </c>
    </row>
    <row r="16">
      <c r="B16" s="1" t="inlineStr">
        <is>
          <t>CELL COLORS</t>
        </is>
      </c>
    </row>
    <row r="17">
      <c r="B17" s="6" t="inlineStr">
        <is>
          <t>White cells: you type here.</t>
        </is>
      </c>
    </row>
    <row r="18">
      <c r="B18" s="7" t="inlineStr">
        <is>
          <t>Grey cells: calculated for you. Leave them alone.</t>
        </is>
      </c>
    </row>
    <row r="19">
      <c r="B19" s="8" t="inlineStr">
        <is>
          <t>Lilac cells: the answer you came for.</t>
        </is>
      </c>
    </row>
    <row r="21">
      <c r="B21" s="1" t="inlineStr">
        <is>
          <t>OPEN IT ANYWHERE</t>
        </is>
      </c>
    </row>
    <row r="22" ht="30" customHeight="1">
      <c r="B22" s="9" t="inlineStr">
        <is>
          <t>Google Sheets: go to sheets.new, then File &gt; Import &gt; Upload this file &gt; Replace spreadsheet. Formulas and dropdowns come with it.</t>
        </is>
      </c>
    </row>
    <row r="23" ht="15" customHeight="1">
      <c r="B23" s="9" t="inlineStr">
        <is>
          <t>Excel: double-click the file. Numbers on a Mac: open it with Numbers.</t>
        </is>
      </c>
    </row>
    <row r="24" ht="15" customHeight="1">
      <c r="B24" s="9" t="inlineStr">
        <is>
          <t>Phone: upload it to Google Drive, then open it in the Google Sheets app.</t>
        </is>
      </c>
    </row>
    <row r="26" ht="15" customHeight="1">
      <c r="B26" s="10" t="inlineStr">
        <is>
          <t>Rates vary a lot by niche and audience. Use your own numbers, never someone else's screenshot.</t>
        </is>
      </c>
    </row>
    <row r="28">
      <c r="B28" s="11" t="inlineStr">
        <is>
          <t>Make today day one.  ·  127group.io</t>
        </is>
      </c>
    </row>
    <row r="29">
      <c r="B29" s="12" t="inlineStr">
        <is>
          <t>Template drafted from Eli Christiansen's frameworks. © 127 Group LLC. For your own business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63"/>
  <sheetViews>
    <sheetView showGridLines="0" tabSelected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1" customWidth="1" min="4" max="4"/>
    <col width="11" customWidth="1" min="5" max="5"/>
    <col width="26" customWidth="1" min="6" max="6"/>
    <col width="10" customWidth="1" min="7" max="7"/>
    <col width="11" customWidth="1" min="8" max="8"/>
    <col width="11" customWidth="1" min="9" max="9"/>
    <col width="11" customWidth="1" min="10" max="10"/>
    <col width="9" customWidth="1" min="11" max="11"/>
    <col width="14" customWidth="1" min="12" max="12"/>
  </cols>
  <sheetData>
    <row r="1" ht="26" customHeight="1">
      <c r="A1" s="13" t="inlineStr">
        <is>
          <t>Brand deal tracker</t>
        </is>
      </c>
    </row>
    <row r="2" ht="16" customHeight="1">
      <c r="A2" s="14" t="inlineStr">
        <is>
          <t>One row per brand. Update the status every time it moves.</t>
        </is>
      </c>
    </row>
    <row r="3" ht="40" customHeight="1">
      <c r="A3" s="15" t="inlineStr">
        <is>
          <t>Brand</t>
        </is>
      </c>
      <c r="B3" s="15" t="inlineStr">
        <is>
          <t>Contact (name, email)</t>
        </is>
      </c>
      <c r="C3" s="15" t="inlineStr">
        <is>
          <t>Pitched via</t>
        </is>
      </c>
      <c r="D3" s="15" t="inlineStr">
        <is>
          <t>Status</t>
        </is>
      </c>
      <c r="E3" s="15" t="inlineStr">
        <is>
          <t>Pitched on</t>
        </is>
      </c>
      <c r="F3" s="15" t="inlineStr">
        <is>
          <t>Deliverables</t>
        </is>
      </c>
      <c r="G3" s="15" t="inlineStr">
        <is>
          <t>Rate ($)</t>
        </is>
      </c>
      <c r="H3" s="15" t="inlineStr">
        <is>
          <t>Due</t>
        </is>
      </c>
      <c r="I3" s="15" t="inlineStr">
        <is>
          <t>Invoiced on</t>
        </is>
      </c>
      <c r="J3" s="15" t="inlineStr">
        <is>
          <t>Paid on</t>
        </is>
      </c>
      <c r="K3" s="16" t="inlineStr">
        <is>
          <t>Days since pitch</t>
        </is>
      </c>
      <c r="L3" s="16" t="inlineStr">
        <is>
          <t>Follow up?</t>
        </is>
      </c>
    </row>
    <row r="4">
      <c r="A4" s="17" t="inlineStr">
        <is>
          <t>Brightside Snacks</t>
        </is>
      </c>
      <c r="B4" s="17" t="inlineStr">
        <is>
          <t>Ana, partnerships</t>
        </is>
      </c>
      <c r="C4" s="17" t="inlineStr">
        <is>
          <t>Email</t>
        </is>
      </c>
      <c r="D4" s="17" t="inlineStr">
        <is>
          <t>Paid</t>
        </is>
      </c>
      <c r="E4" s="18">
        <f>TODAY()-40</f>
        <v/>
      </c>
      <c r="F4" s="19" t="inlineStr">
        <is>
          <t>1 TikTok + 3 stories</t>
        </is>
      </c>
      <c r="G4" s="20" t="n">
        <v>450</v>
      </c>
      <c r="H4" s="18">
        <f>TODAY()-20</f>
        <v/>
      </c>
      <c r="I4" s="18">
        <f>TODAY()-18</f>
        <v/>
      </c>
      <c r="J4" s="18">
        <f>TODAY()-4</f>
        <v/>
      </c>
      <c r="K4" s="21">
        <f>IF(E4="","",TODAY()-E4)</f>
        <v/>
      </c>
      <c r="L4" s="22">
        <f>IF(D4="Pitched",IF(N(K4)&gt;=5,"Follow up",""),IF(AND(D4="Delivered",I4&lt;&gt;"",TODAY()-I4&gt;=30),"Chase payment",""))</f>
        <v/>
      </c>
    </row>
    <row r="5">
      <c r="A5" s="17" t="inlineStr">
        <is>
          <t>Loop Water</t>
        </is>
      </c>
      <c r="B5" s="17" t="inlineStr">
        <is>
          <t>Marcus, creator team</t>
        </is>
      </c>
      <c r="C5" s="17" t="inlineStr">
        <is>
          <t>Instagram DM</t>
        </is>
      </c>
      <c r="D5" s="17" t="inlineStr">
        <is>
          <t>Agreed</t>
        </is>
      </c>
      <c r="E5" s="18">
        <f>TODAY()-12</f>
        <v/>
      </c>
      <c r="F5" s="19" t="inlineStr">
        <is>
          <t>1 Reel, usage 30 days</t>
        </is>
      </c>
      <c r="G5" s="20" t="n">
        <v>300</v>
      </c>
      <c r="H5" s="18">
        <f>TODAY()+9</f>
        <v/>
      </c>
      <c r="I5" s="18" t="n"/>
      <c r="J5" s="18" t="n"/>
      <c r="K5" s="21">
        <f>IF(E5="","",TODAY()-E5)</f>
        <v/>
      </c>
      <c r="L5" s="22">
        <f>IF(D5="Pitched",IF(N(K5)&gt;=5,"Follow up",""),IF(AND(D5="Delivered",I5&lt;&gt;"",TODAY()-I5&gt;=30),"Chase payment",""))</f>
        <v/>
      </c>
    </row>
    <row r="6">
      <c r="A6" s="17" t="inlineStr">
        <is>
          <t>Fieldnote Journals</t>
        </is>
      </c>
      <c r="B6" s="17" t="inlineStr">
        <is>
          <t>hello@ inbox</t>
        </is>
      </c>
      <c r="C6" s="17" t="inlineStr">
        <is>
          <t>Email</t>
        </is>
      </c>
      <c r="D6" s="17" t="inlineStr">
        <is>
          <t>Pitched</t>
        </is>
      </c>
      <c r="E6" s="18">
        <f>TODAY()-7</f>
        <v/>
      </c>
      <c r="F6" s="19" t="n"/>
      <c r="G6" s="20" t="n"/>
      <c r="H6" s="18" t="n"/>
      <c r="I6" s="18" t="n"/>
      <c r="J6" s="18" t="n"/>
      <c r="K6" s="21">
        <f>IF(E6="","",TODAY()-E6)</f>
        <v/>
      </c>
      <c r="L6" s="22">
        <f>IF(D6="Pitched",IF(N(K6)&gt;=5,"Follow up",""),IF(AND(D6="Delivered",I6&lt;&gt;"",TODAY()-I6&gt;=30),"Chase payment",""))</f>
        <v/>
      </c>
    </row>
    <row r="7">
      <c r="A7" s="17" t="inlineStr">
        <is>
          <t>Trailmix Co.</t>
        </is>
      </c>
      <c r="B7" s="17" t="inlineStr">
        <is>
          <t>Priya</t>
        </is>
      </c>
      <c r="C7" s="17" t="inlineStr">
        <is>
          <t>Platform</t>
        </is>
      </c>
      <c r="D7" s="17" t="inlineStr">
        <is>
          <t>Pitched</t>
        </is>
      </c>
      <c r="E7" s="18">
        <f>TODAY()-2</f>
        <v/>
      </c>
      <c r="F7" s="19" t="n"/>
      <c r="G7" s="20" t="n"/>
      <c r="H7" s="18" t="n"/>
      <c r="I7" s="18" t="n"/>
      <c r="J7" s="18" t="n"/>
      <c r="K7" s="21">
        <f>IF(E7="","",TODAY()-E7)</f>
        <v/>
      </c>
      <c r="L7" s="22">
        <f>IF(D7="Pitched",IF(N(K7)&gt;=5,"Follow up",""),IF(AND(D7="Delivered",I7&lt;&gt;"",TODAY()-I7&gt;=30),"Chase payment",""))</f>
        <v/>
      </c>
    </row>
    <row r="8">
      <c r="A8" s="17" t="n"/>
      <c r="B8" s="17" t="n"/>
      <c r="C8" s="17" t="n"/>
      <c r="D8" s="17" t="n"/>
      <c r="E8" s="18" t="n"/>
      <c r="F8" s="19" t="n"/>
      <c r="G8" s="20" t="n"/>
      <c r="H8" s="18" t="n"/>
      <c r="I8" s="18" t="n"/>
      <c r="J8" s="18" t="n"/>
      <c r="K8" s="21">
        <f>IF(E8="","",TODAY()-E8)</f>
        <v/>
      </c>
      <c r="L8" s="22">
        <f>IF(D8="Pitched",IF(N(K8)&gt;=5,"Follow up",""),IF(AND(D8="Delivered",I8&lt;&gt;"",TODAY()-I8&gt;=30),"Chase payment",""))</f>
        <v/>
      </c>
    </row>
    <row r="9">
      <c r="A9" s="17" t="n"/>
      <c r="B9" s="17" t="n"/>
      <c r="C9" s="17" t="n"/>
      <c r="D9" s="17" t="n"/>
      <c r="E9" s="18" t="n"/>
      <c r="F9" s="19" t="n"/>
      <c r="G9" s="20" t="n"/>
      <c r="H9" s="18" t="n"/>
      <c r="I9" s="18" t="n"/>
      <c r="J9" s="18" t="n"/>
      <c r="K9" s="21">
        <f>IF(E9="","",TODAY()-E9)</f>
        <v/>
      </c>
      <c r="L9" s="22">
        <f>IF(D9="Pitched",IF(N(K9)&gt;=5,"Follow up",""),IF(AND(D9="Delivered",I9&lt;&gt;"",TODAY()-I9&gt;=30),"Chase payment",""))</f>
        <v/>
      </c>
    </row>
    <row r="10">
      <c r="A10" s="17" t="n"/>
      <c r="B10" s="17" t="n"/>
      <c r="C10" s="17" t="n"/>
      <c r="D10" s="17" t="n"/>
      <c r="E10" s="18" t="n"/>
      <c r="F10" s="19" t="n"/>
      <c r="G10" s="20" t="n"/>
      <c r="H10" s="18" t="n"/>
      <c r="I10" s="18" t="n"/>
      <c r="J10" s="18" t="n"/>
      <c r="K10" s="21">
        <f>IF(E10="","",TODAY()-E10)</f>
        <v/>
      </c>
      <c r="L10" s="22">
        <f>IF(D10="Pitched",IF(N(K10)&gt;=5,"Follow up",""),IF(AND(D10="Delivered",I10&lt;&gt;"",TODAY()-I10&gt;=30),"Chase payment",""))</f>
        <v/>
      </c>
    </row>
    <row r="11">
      <c r="A11" s="17" t="n"/>
      <c r="B11" s="17" t="n"/>
      <c r="C11" s="17" t="n"/>
      <c r="D11" s="17" t="n"/>
      <c r="E11" s="18" t="n"/>
      <c r="F11" s="19" t="n"/>
      <c r="G11" s="20" t="n"/>
      <c r="H11" s="18" t="n"/>
      <c r="I11" s="18" t="n"/>
      <c r="J11" s="18" t="n"/>
      <c r="K11" s="21">
        <f>IF(E11="","",TODAY()-E11)</f>
        <v/>
      </c>
      <c r="L11" s="22">
        <f>IF(D11="Pitched",IF(N(K11)&gt;=5,"Follow up",""),IF(AND(D11="Delivered",I11&lt;&gt;"",TODAY()-I11&gt;=30),"Chase payment",""))</f>
        <v/>
      </c>
    </row>
    <row r="12">
      <c r="A12" s="17" t="n"/>
      <c r="B12" s="17" t="n"/>
      <c r="C12" s="17" t="n"/>
      <c r="D12" s="17" t="n"/>
      <c r="E12" s="18" t="n"/>
      <c r="F12" s="19" t="n"/>
      <c r="G12" s="20" t="n"/>
      <c r="H12" s="18" t="n"/>
      <c r="I12" s="18" t="n"/>
      <c r="J12" s="18" t="n"/>
      <c r="K12" s="21">
        <f>IF(E12="","",TODAY()-E12)</f>
        <v/>
      </c>
      <c r="L12" s="22">
        <f>IF(D12="Pitched",IF(N(K12)&gt;=5,"Follow up",""),IF(AND(D12="Delivered",I12&lt;&gt;"",TODAY()-I12&gt;=30),"Chase payment",""))</f>
        <v/>
      </c>
    </row>
    <row r="13">
      <c r="A13" s="17" t="n"/>
      <c r="B13" s="17" t="n"/>
      <c r="C13" s="17" t="n"/>
      <c r="D13" s="17" t="n"/>
      <c r="E13" s="18" t="n"/>
      <c r="F13" s="19" t="n"/>
      <c r="G13" s="20" t="n"/>
      <c r="H13" s="18" t="n"/>
      <c r="I13" s="18" t="n"/>
      <c r="J13" s="18" t="n"/>
      <c r="K13" s="21">
        <f>IF(E13="","",TODAY()-E13)</f>
        <v/>
      </c>
      <c r="L13" s="22">
        <f>IF(D13="Pitched",IF(N(K13)&gt;=5,"Follow up",""),IF(AND(D13="Delivered",I13&lt;&gt;"",TODAY()-I13&gt;=30),"Chase payment",""))</f>
        <v/>
      </c>
    </row>
    <row r="14">
      <c r="A14" s="17" t="n"/>
      <c r="B14" s="17" t="n"/>
      <c r="C14" s="17" t="n"/>
      <c r="D14" s="17" t="n"/>
      <c r="E14" s="18" t="n"/>
      <c r="F14" s="19" t="n"/>
      <c r="G14" s="20" t="n"/>
      <c r="H14" s="18" t="n"/>
      <c r="I14" s="18" t="n"/>
      <c r="J14" s="18" t="n"/>
      <c r="K14" s="21">
        <f>IF(E14="","",TODAY()-E14)</f>
        <v/>
      </c>
      <c r="L14" s="22">
        <f>IF(D14="Pitched",IF(N(K14)&gt;=5,"Follow up",""),IF(AND(D14="Delivered",I14&lt;&gt;"",TODAY()-I14&gt;=30),"Chase payment",""))</f>
        <v/>
      </c>
    </row>
    <row r="15">
      <c r="A15" s="17" t="n"/>
      <c r="B15" s="17" t="n"/>
      <c r="C15" s="17" t="n"/>
      <c r="D15" s="17" t="n"/>
      <c r="E15" s="18" t="n"/>
      <c r="F15" s="19" t="n"/>
      <c r="G15" s="20" t="n"/>
      <c r="H15" s="18" t="n"/>
      <c r="I15" s="18" t="n"/>
      <c r="J15" s="18" t="n"/>
      <c r="K15" s="21">
        <f>IF(E15="","",TODAY()-E15)</f>
        <v/>
      </c>
      <c r="L15" s="22">
        <f>IF(D15="Pitched",IF(N(K15)&gt;=5,"Follow up",""),IF(AND(D15="Delivered",I15&lt;&gt;"",TODAY()-I15&gt;=30),"Chase payment",""))</f>
        <v/>
      </c>
    </row>
    <row r="16">
      <c r="A16" s="17" t="n"/>
      <c r="B16" s="17" t="n"/>
      <c r="C16" s="17" t="n"/>
      <c r="D16" s="17" t="n"/>
      <c r="E16" s="18" t="n"/>
      <c r="F16" s="19" t="n"/>
      <c r="G16" s="20" t="n"/>
      <c r="H16" s="18" t="n"/>
      <c r="I16" s="18" t="n"/>
      <c r="J16" s="18" t="n"/>
      <c r="K16" s="21">
        <f>IF(E16="","",TODAY()-E16)</f>
        <v/>
      </c>
      <c r="L16" s="22">
        <f>IF(D16="Pitched",IF(N(K16)&gt;=5,"Follow up",""),IF(AND(D16="Delivered",I16&lt;&gt;"",TODAY()-I16&gt;=30),"Chase payment",""))</f>
        <v/>
      </c>
    </row>
    <row r="17">
      <c r="A17" s="17" t="n"/>
      <c r="B17" s="17" t="n"/>
      <c r="C17" s="17" t="n"/>
      <c r="D17" s="17" t="n"/>
      <c r="E17" s="18" t="n"/>
      <c r="F17" s="19" t="n"/>
      <c r="G17" s="20" t="n"/>
      <c r="H17" s="18" t="n"/>
      <c r="I17" s="18" t="n"/>
      <c r="J17" s="18" t="n"/>
      <c r="K17" s="21">
        <f>IF(E17="","",TODAY()-E17)</f>
        <v/>
      </c>
      <c r="L17" s="22">
        <f>IF(D17="Pitched",IF(N(K17)&gt;=5,"Follow up",""),IF(AND(D17="Delivered",I17&lt;&gt;"",TODAY()-I17&gt;=30),"Chase payment",""))</f>
        <v/>
      </c>
    </row>
    <row r="18">
      <c r="A18" s="17" t="n"/>
      <c r="B18" s="17" t="n"/>
      <c r="C18" s="17" t="n"/>
      <c r="D18" s="17" t="n"/>
      <c r="E18" s="18" t="n"/>
      <c r="F18" s="19" t="n"/>
      <c r="G18" s="20" t="n"/>
      <c r="H18" s="18" t="n"/>
      <c r="I18" s="18" t="n"/>
      <c r="J18" s="18" t="n"/>
      <c r="K18" s="21">
        <f>IF(E18="","",TODAY()-E18)</f>
        <v/>
      </c>
      <c r="L18" s="22">
        <f>IF(D18="Pitched",IF(N(K18)&gt;=5,"Follow up",""),IF(AND(D18="Delivered",I18&lt;&gt;"",TODAY()-I18&gt;=30),"Chase payment",""))</f>
        <v/>
      </c>
    </row>
    <row r="19">
      <c r="A19" s="17" t="n"/>
      <c r="B19" s="17" t="n"/>
      <c r="C19" s="17" t="n"/>
      <c r="D19" s="17" t="n"/>
      <c r="E19" s="18" t="n"/>
      <c r="F19" s="19" t="n"/>
      <c r="G19" s="20" t="n"/>
      <c r="H19" s="18" t="n"/>
      <c r="I19" s="18" t="n"/>
      <c r="J19" s="18" t="n"/>
      <c r="K19" s="21">
        <f>IF(E19="","",TODAY()-E19)</f>
        <v/>
      </c>
      <c r="L19" s="22">
        <f>IF(D19="Pitched",IF(N(K19)&gt;=5,"Follow up",""),IF(AND(D19="Delivered",I19&lt;&gt;"",TODAY()-I19&gt;=30),"Chase payment",""))</f>
        <v/>
      </c>
    </row>
    <row r="20">
      <c r="A20" s="17" t="n"/>
      <c r="B20" s="17" t="n"/>
      <c r="C20" s="17" t="n"/>
      <c r="D20" s="17" t="n"/>
      <c r="E20" s="18" t="n"/>
      <c r="F20" s="19" t="n"/>
      <c r="G20" s="20" t="n"/>
      <c r="H20" s="18" t="n"/>
      <c r="I20" s="18" t="n"/>
      <c r="J20" s="18" t="n"/>
      <c r="K20" s="21">
        <f>IF(E20="","",TODAY()-E20)</f>
        <v/>
      </c>
      <c r="L20" s="22">
        <f>IF(D20="Pitched",IF(N(K20)&gt;=5,"Follow up",""),IF(AND(D20="Delivered",I20&lt;&gt;"",TODAY()-I20&gt;=30),"Chase payment",""))</f>
        <v/>
      </c>
    </row>
    <row r="21">
      <c r="A21" s="17" t="n"/>
      <c r="B21" s="17" t="n"/>
      <c r="C21" s="17" t="n"/>
      <c r="D21" s="17" t="n"/>
      <c r="E21" s="18" t="n"/>
      <c r="F21" s="19" t="n"/>
      <c r="G21" s="20" t="n"/>
      <c r="H21" s="18" t="n"/>
      <c r="I21" s="18" t="n"/>
      <c r="J21" s="18" t="n"/>
      <c r="K21" s="21">
        <f>IF(E21="","",TODAY()-E21)</f>
        <v/>
      </c>
      <c r="L21" s="22">
        <f>IF(D21="Pitched",IF(N(K21)&gt;=5,"Follow up",""),IF(AND(D21="Delivered",I21&lt;&gt;"",TODAY()-I21&gt;=30),"Chase payment",""))</f>
        <v/>
      </c>
    </row>
    <row r="22">
      <c r="A22" s="17" t="n"/>
      <c r="B22" s="17" t="n"/>
      <c r="C22" s="17" t="n"/>
      <c r="D22" s="17" t="n"/>
      <c r="E22" s="18" t="n"/>
      <c r="F22" s="19" t="n"/>
      <c r="G22" s="20" t="n"/>
      <c r="H22" s="18" t="n"/>
      <c r="I22" s="18" t="n"/>
      <c r="J22" s="18" t="n"/>
      <c r="K22" s="21">
        <f>IF(E22="","",TODAY()-E22)</f>
        <v/>
      </c>
      <c r="L22" s="22">
        <f>IF(D22="Pitched",IF(N(K22)&gt;=5,"Follow up",""),IF(AND(D22="Delivered",I22&lt;&gt;"",TODAY()-I22&gt;=30),"Chase payment",""))</f>
        <v/>
      </c>
    </row>
    <row r="23">
      <c r="A23" s="17" t="n"/>
      <c r="B23" s="17" t="n"/>
      <c r="C23" s="17" t="n"/>
      <c r="D23" s="17" t="n"/>
      <c r="E23" s="18" t="n"/>
      <c r="F23" s="19" t="n"/>
      <c r="G23" s="20" t="n"/>
      <c r="H23" s="18" t="n"/>
      <c r="I23" s="18" t="n"/>
      <c r="J23" s="18" t="n"/>
      <c r="K23" s="21">
        <f>IF(E23="","",TODAY()-E23)</f>
        <v/>
      </c>
      <c r="L23" s="22">
        <f>IF(D23="Pitched",IF(N(K23)&gt;=5,"Follow up",""),IF(AND(D23="Delivered",I23&lt;&gt;"",TODAY()-I23&gt;=30),"Chase payment",""))</f>
        <v/>
      </c>
    </row>
    <row r="24">
      <c r="A24" s="17" t="n"/>
      <c r="B24" s="17" t="n"/>
      <c r="C24" s="17" t="n"/>
      <c r="D24" s="17" t="n"/>
      <c r="E24" s="18" t="n"/>
      <c r="F24" s="19" t="n"/>
      <c r="G24" s="20" t="n"/>
      <c r="H24" s="18" t="n"/>
      <c r="I24" s="18" t="n"/>
      <c r="J24" s="18" t="n"/>
      <c r="K24" s="21">
        <f>IF(E24="","",TODAY()-E24)</f>
        <v/>
      </c>
      <c r="L24" s="22">
        <f>IF(D24="Pitched",IF(N(K24)&gt;=5,"Follow up",""),IF(AND(D24="Delivered",I24&lt;&gt;"",TODAY()-I24&gt;=30),"Chase payment",""))</f>
        <v/>
      </c>
    </row>
    <row r="25">
      <c r="A25" s="17" t="n"/>
      <c r="B25" s="17" t="n"/>
      <c r="C25" s="17" t="n"/>
      <c r="D25" s="17" t="n"/>
      <c r="E25" s="18" t="n"/>
      <c r="F25" s="19" t="n"/>
      <c r="G25" s="20" t="n"/>
      <c r="H25" s="18" t="n"/>
      <c r="I25" s="18" t="n"/>
      <c r="J25" s="18" t="n"/>
      <c r="K25" s="21">
        <f>IF(E25="","",TODAY()-E25)</f>
        <v/>
      </c>
      <c r="L25" s="22">
        <f>IF(D25="Pitched",IF(N(K25)&gt;=5,"Follow up",""),IF(AND(D25="Delivered",I25&lt;&gt;"",TODAY()-I25&gt;=30),"Chase payment",""))</f>
        <v/>
      </c>
    </row>
    <row r="26">
      <c r="A26" s="17" t="n"/>
      <c r="B26" s="17" t="n"/>
      <c r="C26" s="17" t="n"/>
      <c r="D26" s="17" t="n"/>
      <c r="E26" s="18" t="n"/>
      <c r="F26" s="19" t="n"/>
      <c r="G26" s="20" t="n"/>
      <c r="H26" s="18" t="n"/>
      <c r="I26" s="18" t="n"/>
      <c r="J26" s="18" t="n"/>
      <c r="K26" s="21">
        <f>IF(E26="","",TODAY()-E26)</f>
        <v/>
      </c>
      <c r="L26" s="22">
        <f>IF(D26="Pitched",IF(N(K26)&gt;=5,"Follow up",""),IF(AND(D26="Delivered",I26&lt;&gt;"",TODAY()-I26&gt;=30),"Chase payment",""))</f>
        <v/>
      </c>
    </row>
    <row r="27">
      <c r="A27" s="17" t="n"/>
      <c r="B27" s="17" t="n"/>
      <c r="C27" s="17" t="n"/>
      <c r="D27" s="17" t="n"/>
      <c r="E27" s="18" t="n"/>
      <c r="F27" s="19" t="n"/>
      <c r="G27" s="20" t="n"/>
      <c r="H27" s="18" t="n"/>
      <c r="I27" s="18" t="n"/>
      <c r="J27" s="18" t="n"/>
      <c r="K27" s="21">
        <f>IF(E27="","",TODAY()-E27)</f>
        <v/>
      </c>
      <c r="L27" s="22">
        <f>IF(D27="Pitched",IF(N(K27)&gt;=5,"Follow up",""),IF(AND(D27="Delivered",I27&lt;&gt;"",TODAY()-I27&gt;=30),"Chase payment",""))</f>
        <v/>
      </c>
    </row>
    <row r="28">
      <c r="A28" s="17" t="n"/>
      <c r="B28" s="17" t="n"/>
      <c r="C28" s="17" t="n"/>
      <c r="D28" s="17" t="n"/>
      <c r="E28" s="18" t="n"/>
      <c r="F28" s="19" t="n"/>
      <c r="G28" s="20" t="n"/>
      <c r="H28" s="18" t="n"/>
      <c r="I28" s="18" t="n"/>
      <c r="J28" s="18" t="n"/>
      <c r="K28" s="21">
        <f>IF(E28="","",TODAY()-E28)</f>
        <v/>
      </c>
      <c r="L28" s="22">
        <f>IF(D28="Pitched",IF(N(K28)&gt;=5,"Follow up",""),IF(AND(D28="Delivered",I28&lt;&gt;"",TODAY()-I28&gt;=30),"Chase payment",""))</f>
        <v/>
      </c>
    </row>
    <row r="29">
      <c r="A29" s="17" t="n"/>
      <c r="B29" s="17" t="n"/>
      <c r="C29" s="17" t="n"/>
      <c r="D29" s="17" t="n"/>
      <c r="E29" s="18" t="n"/>
      <c r="F29" s="19" t="n"/>
      <c r="G29" s="20" t="n"/>
      <c r="H29" s="18" t="n"/>
      <c r="I29" s="18" t="n"/>
      <c r="J29" s="18" t="n"/>
      <c r="K29" s="21">
        <f>IF(E29="","",TODAY()-E29)</f>
        <v/>
      </c>
      <c r="L29" s="22">
        <f>IF(D29="Pitched",IF(N(K29)&gt;=5,"Follow up",""),IF(AND(D29="Delivered",I29&lt;&gt;"",TODAY()-I29&gt;=30),"Chase payment",""))</f>
        <v/>
      </c>
    </row>
    <row r="30">
      <c r="A30" s="17" t="n"/>
      <c r="B30" s="17" t="n"/>
      <c r="C30" s="17" t="n"/>
      <c r="D30" s="17" t="n"/>
      <c r="E30" s="18" t="n"/>
      <c r="F30" s="19" t="n"/>
      <c r="G30" s="20" t="n"/>
      <c r="H30" s="18" t="n"/>
      <c r="I30" s="18" t="n"/>
      <c r="J30" s="18" t="n"/>
      <c r="K30" s="21">
        <f>IF(E30="","",TODAY()-E30)</f>
        <v/>
      </c>
      <c r="L30" s="22">
        <f>IF(D30="Pitched",IF(N(K30)&gt;=5,"Follow up",""),IF(AND(D30="Delivered",I30&lt;&gt;"",TODAY()-I30&gt;=30),"Chase payment",""))</f>
        <v/>
      </c>
    </row>
    <row r="31">
      <c r="A31" s="17" t="n"/>
      <c r="B31" s="17" t="n"/>
      <c r="C31" s="17" t="n"/>
      <c r="D31" s="17" t="n"/>
      <c r="E31" s="18" t="n"/>
      <c r="F31" s="19" t="n"/>
      <c r="G31" s="20" t="n"/>
      <c r="H31" s="18" t="n"/>
      <c r="I31" s="18" t="n"/>
      <c r="J31" s="18" t="n"/>
      <c r="K31" s="21">
        <f>IF(E31="","",TODAY()-E31)</f>
        <v/>
      </c>
      <c r="L31" s="22">
        <f>IF(D31="Pitched",IF(N(K31)&gt;=5,"Follow up",""),IF(AND(D31="Delivered",I31&lt;&gt;"",TODAY()-I31&gt;=30),"Chase payment",""))</f>
        <v/>
      </c>
    </row>
    <row r="32">
      <c r="A32" s="17" t="n"/>
      <c r="B32" s="17" t="n"/>
      <c r="C32" s="17" t="n"/>
      <c r="D32" s="17" t="n"/>
      <c r="E32" s="18" t="n"/>
      <c r="F32" s="19" t="n"/>
      <c r="G32" s="20" t="n"/>
      <c r="H32" s="18" t="n"/>
      <c r="I32" s="18" t="n"/>
      <c r="J32" s="18" t="n"/>
      <c r="K32" s="21">
        <f>IF(E32="","",TODAY()-E32)</f>
        <v/>
      </c>
      <c r="L32" s="22">
        <f>IF(D32="Pitched",IF(N(K32)&gt;=5,"Follow up",""),IF(AND(D32="Delivered",I32&lt;&gt;"",TODAY()-I32&gt;=30),"Chase payment",""))</f>
        <v/>
      </c>
    </row>
    <row r="33">
      <c r="A33" s="17" t="n"/>
      <c r="B33" s="17" t="n"/>
      <c r="C33" s="17" t="n"/>
      <c r="D33" s="17" t="n"/>
      <c r="E33" s="18" t="n"/>
      <c r="F33" s="19" t="n"/>
      <c r="G33" s="20" t="n"/>
      <c r="H33" s="18" t="n"/>
      <c r="I33" s="18" t="n"/>
      <c r="J33" s="18" t="n"/>
      <c r="K33" s="21">
        <f>IF(E33="","",TODAY()-E33)</f>
        <v/>
      </c>
      <c r="L33" s="22">
        <f>IF(D33="Pitched",IF(N(K33)&gt;=5,"Follow up",""),IF(AND(D33="Delivered",I33&lt;&gt;"",TODAY()-I33&gt;=30),"Chase payment",""))</f>
        <v/>
      </c>
    </row>
    <row r="34">
      <c r="A34" s="17" t="n"/>
      <c r="B34" s="17" t="n"/>
      <c r="C34" s="17" t="n"/>
      <c r="D34" s="17" t="n"/>
      <c r="E34" s="18" t="n"/>
      <c r="F34" s="19" t="n"/>
      <c r="G34" s="20" t="n"/>
      <c r="H34" s="18" t="n"/>
      <c r="I34" s="18" t="n"/>
      <c r="J34" s="18" t="n"/>
      <c r="K34" s="21">
        <f>IF(E34="","",TODAY()-E34)</f>
        <v/>
      </c>
      <c r="L34" s="22">
        <f>IF(D34="Pitched",IF(N(K34)&gt;=5,"Follow up",""),IF(AND(D34="Delivered",I34&lt;&gt;"",TODAY()-I34&gt;=30),"Chase payment",""))</f>
        <v/>
      </c>
    </row>
    <row r="35">
      <c r="A35" s="17" t="n"/>
      <c r="B35" s="17" t="n"/>
      <c r="C35" s="17" t="n"/>
      <c r="D35" s="17" t="n"/>
      <c r="E35" s="18" t="n"/>
      <c r="F35" s="19" t="n"/>
      <c r="G35" s="20" t="n"/>
      <c r="H35" s="18" t="n"/>
      <c r="I35" s="18" t="n"/>
      <c r="J35" s="18" t="n"/>
      <c r="K35" s="21">
        <f>IF(E35="","",TODAY()-E35)</f>
        <v/>
      </c>
      <c r="L35" s="22">
        <f>IF(D35="Pitched",IF(N(K35)&gt;=5,"Follow up",""),IF(AND(D35="Delivered",I35&lt;&gt;"",TODAY()-I35&gt;=30),"Chase payment",""))</f>
        <v/>
      </c>
    </row>
    <row r="36">
      <c r="A36" s="17" t="n"/>
      <c r="B36" s="17" t="n"/>
      <c r="C36" s="17" t="n"/>
      <c r="D36" s="17" t="n"/>
      <c r="E36" s="18" t="n"/>
      <c r="F36" s="19" t="n"/>
      <c r="G36" s="20" t="n"/>
      <c r="H36" s="18" t="n"/>
      <c r="I36" s="18" t="n"/>
      <c r="J36" s="18" t="n"/>
      <c r="K36" s="21">
        <f>IF(E36="","",TODAY()-E36)</f>
        <v/>
      </c>
      <c r="L36" s="22">
        <f>IF(D36="Pitched",IF(N(K36)&gt;=5,"Follow up",""),IF(AND(D36="Delivered",I36&lt;&gt;"",TODAY()-I36&gt;=30),"Chase payment",""))</f>
        <v/>
      </c>
    </row>
    <row r="37">
      <c r="A37" s="17" t="n"/>
      <c r="B37" s="17" t="n"/>
      <c r="C37" s="17" t="n"/>
      <c r="D37" s="17" t="n"/>
      <c r="E37" s="18" t="n"/>
      <c r="F37" s="19" t="n"/>
      <c r="G37" s="20" t="n"/>
      <c r="H37" s="18" t="n"/>
      <c r="I37" s="18" t="n"/>
      <c r="J37" s="18" t="n"/>
      <c r="K37" s="21">
        <f>IF(E37="","",TODAY()-E37)</f>
        <v/>
      </c>
      <c r="L37" s="22">
        <f>IF(D37="Pitched",IF(N(K37)&gt;=5,"Follow up",""),IF(AND(D37="Delivered",I37&lt;&gt;"",TODAY()-I37&gt;=30),"Chase payment",""))</f>
        <v/>
      </c>
    </row>
    <row r="38">
      <c r="A38" s="17" t="n"/>
      <c r="B38" s="17" t="n"/>
      <c r="C38" s="17" t="n"/>
      <c r="D38" s="17" t="n"/>
      <c r="E38" s="18" t="n"/>
      <c r="F38" s="19" t="n"/>
      <c r="G38" s="20" t="n"/>
      <c r="H38" s="18" t="n"/>
      <c r="I38" s="18" t="n"/>
      <c r="J38" s="18" t="n"/>
      <c r="K38" s="21">
        <f>IF(E38="","",TODAY()-E38)</f>
        <v/>
      </c>
      <c r="L38" s="22">
        <f>IF(D38="Pitched",IF(N(K38)&gt;=5,"Follow up",""),IF(AND(D38="Delivered",I38&lt;&gt;"",TODAY()-I38&gt;=30),"Chase payment",""))</f>
        <v/>
      </c>
    </row>
    <row r="39">
      <c r="A39" s="17" t="n"/>
      <c r="B39" s="17" t="n"/>
      <c r="C39" s="17" t="n"/>
      <c r="D39" s="17" t="n"/>
      <c r="E39" s="18" t="n"/>
      <c r="F39" s="19" t="n"/>
      <c r="G39" s="20" t="n"/>
      <c r="H39" s="18" t="n"/>
      <c r="I39" s="18" t="n"/>
      <c r="J39" s="18" t="n"/>
      <c r="K39" s="21">
        <f>IF(E39="","",TODAY()-E39)</f>
        <v/>
      </c>
      <c r="L39" s="22">
        <f>IF(D39="Pitched",IF(N(K39)&gt;=5,"Follow up",""),IF(AND(D39="Delivered",I39&lt;&gt;"",TODAY()-I39&gt;=30),"Chase payment",""))</f>
        <v/>
      </c>
    </row>
    <row r="40">
      <c r="A40" s="17" t="n"/>
      <c r="B40" s="17" t="n"/>
      <c r="C40" s="17" t="n"/>
      <c r="D40" s="17" t="n"/>
      <c r="E40" s="18" t="n"/>
      <c r="F40" s="19" t="n"/>
      <c r="G40" s="20" t="n"/>
      <c r="H40" s="18" t="n"/>
      <c r="I40" s="18" t="n"/>
      <c r="J40" s="18" t="n"/>
      <c r="K40" s="21">
        <f>IF(E40="","",TODAY()-E40)</f>
        <v/>
      </c>
      <c r="L40" s="22">
        <f>IF(D40="Pitched",IF(N(K40)&gt;=5,"Follow up",""),IF(AND(D40="Delivered",I40&lt;&gt;"",TODAY()-I40&gt;=30),"Chase payment",""))</f>
        <v/>
      </c>
    </row>
    <row r="41">
      <c r="A41" s="17" t="n"/>
      <c r="B41" s="17" t="n"/>
      <c r="C41" s="17" t="n"/>
      <c r="D41" s="17" t="n"/>
      <c r="E41" s="18" t="n"/>
      <c r="F41" s="19" t="n"/>
      <c r="G41" s="20" t="n"/>
      <c r="H41" s="18" t="n"/>
      <c r="I41" s="18" t="n"/>
      <c r="J41" s="18" t="n"/>
      <c r="K41" s="21">
        <f>IF(E41="","",TODAY()-E41)</f>
        <v/>
      </c>
      <c r="L41" s="22">
        <f>IF(D41="Pitched",IF(N(K41)&gt;=5,"Follow up",""),IF(AND(D41="Delivered",I41&lt;&gt;"",TODAY()-I41&gt;=30),"Chase payment",""))</f>
        <v/>
      </c>
    </row>
    <row r="42">
      <c r="A42" s="17" t="n"/>
      <c r="B42" s="17" t="n"/>
      <c r="C42" s="17" t="n"/>
      <c r="D42" s="17" t="n"/>
      <c r="E42" s="18" t="n"/>
      <c r="F42" s="19" t="n"/>
      <c r="G42" s="20" t="n"/>
      <c r="H42" s="18" t="n"/>
      <c r="I42" s="18" t="n"/>
      <c r="J42" s="18" t="n"/>
      <c r="K42" s="21">
        <f>IF(E42="","",TODAY()-E42)</f>
        <v/>
      </c>
      <c r="L42" s="22">
        <f>IF(D42="Pitched",IF(N(K42)&gt;=5,"Follow up",""),IF(AND(D42="Delivered",I42&lt;&gt;"",TODAY()-I42&gt;=30),"Chase payment",""))</f>
        <v/>
      </c>
    </row>
    <row r="43">
      <c r="A43" s="17" t="n"/>
      <c r="B43" s="17" t="n"/>
      <c r="C43" s="17" t="n"/>
      <c r="D43" s="17" t="n"/>
      <c r="E43" s="18" t="n"/>
      <c r="F43" s="19" t="n"/>
      <c r="G43" s="20" t="n"/>
      <c r="H43" s="18" t="n"/>
      <c r="I43" s="18" t="n"/>
      <c r="J43" s="18" t="n"/>
      <c r="K43" s="21">
        <f>IF(E43="","",TODAY()-E43)</f>
        <v/>
      </c>
      <c r="L43" s="22">
        <f>IF(D43="Pitched",IF(N(K43)&gt;=5,"Follow up",""),IF(AND(D43="Delivered",I43&lt;&gt;"",TODAY()-I43&gt;=30),"Chase payment",""))</f>
        <v/>
      </c>
    </row>
    <row r="44">
      <c r="A44" s="17" t="n"/>
      <c r="B44" s="17" t="n"/>
      <c r="C44" s="17" t="n"/>
      <c r="D44" s="17" t="n"/>
      <c r="E44" s="18" t="n"/>
      <c r="F44" s="19" t="n"/>
      <c r="G44" s="20" t="n"/>
      <c r="H44" s="18" t="n"/>
      <c r="I44" s="18" t="n"/>
      <c r="J44" s="18" t="n"/>
      <c r="K44" s="21">
        <f>IF(E44="","",TODAY()-E44)</f>
        <v/>
      </c>
      <c r="L44" s="22">
        <f>IF(D44="Pitched",IF(N(K44)&gt;=5,"Follow up",""),IF(AND(D44="Delivered",I44&lt;&gt;"",TODAY()-I44&gt;=30),"Chase payment",""))</f>
        <v/>
      </c>
    </row>
    <row r="45">
      <c r="A45" s="17" t="n"/>
      <c r="B45" s="17" t="n"/>
      <c r="C45" s="17" t="n"/>
      <c r="D45" s="17" t="n"/>
      <c r="E45" s="18" t="n"/>
      <c r="F45" s="19" t="n"/>
      <c r="G45" s="20" t="n"/>
      <c r="H45" s="18" t="n"/>
      <c r="I45" s="18" t="n"/>
      <c r="J45" s="18" t="n"/>
      <c r="K45" s="21">
        <f>IF(E45="","",TODAY()-E45)</f>
        <v/>
      </c>
      <c r="L45" s="22">
        <f>IF(D45="Pitched",IF(N(K45)&gt;=5,"Follow up",""),IF(AND(D45="Delivered",I45&lt;&gt;"",TODAY()-I45&gt;=30),"Chase payment",""))</f>
        <v/>
      </c>
    </row>
    <row r="46">
      <c r="A46" s="17" t="n"/>
      <c r="B46" s="17" t="n"/>
      <c r="C46" s="17" t="n"/>
      <c r="D46" s="17" t="n"/>
      <c r="E46" s="18" t="n"/>
      <c r="F46" s="19" t="n"/>
      <c r="G46" s="20" t="n"/>
      <c r="H46" s="18" t="n"/>
      <c r="I46" s="18" t="n"/>
      <c r="J46" s="18" t="n"/>
      <c r="K46" s="21">
        <f>IF(E46="","",TODAY()-E46)</f>
        <v/>
      </c>
      <c r="L46" s="22">
        <f>IF(D46="Pitched",IF(N(K46)&gt;=5,"Follow up",""),IF(AND(D46="Delivered",I46&lt;&gt;"",TODAY()-I46&gt;=30),"Chase payment",""))</f>
        <v/>
      </c>
    </row>
    <row r="47">
      <c r="A47" s="17" t="n"/>
      <c r="B47" s="17" t="n"/>
      <c r="C47" s="17" t="n"/>
      <c r="D47" s="17" t="n"/>
      <c r="E47" s="18" t="n"/>
      <c r="F47" s="19" t="n"/>
      <c r="G47" s="20" t="n"/>
      <c r="H47" s="18" t="n"/>
      <c r="I47" s="18" t="n"/>
      <c r="J47" s="18" t="n"/>
      <c r="K47" s="21">
        <f>IF(E47="","",TODAY()-E47)</f>
        <v/>
      </c>
      <c r="L47" s="22">
        <f>IF(D47="Pitched",IF(N(K47)&gt;=5,"Follow up",""),IF(AND(D47="Delivered",I47&lt;&gt;"",TODAY()-I47&gt;=30),"Chase payment",""))</f>
        <v/>
      </c>
    </row>
    <row r="48">
      <c r="A48" s="17" t="n"/>
      <c r="B48" s="17" t="n"/>
      <c r="C48" s="17" t="n"/>
      <c r="D48" s="17" t="n"/>
      <c r="E48" s="18" t="n"/>
      <c r="F48" s="19" t="n"/>
      <c r="G48" s="20" t="n"/>
      <c r="H48" s="18" t="n"/>
      <c r="I48" s="18" t="n"/>
      <c r="J48" s="18" t="n"/>
      <c r="K48" s="21">
        <f>IF(E48="","",TODAY()-E48)</f>
        <v/>
      </c>
      <c r="L48" s="22">
        <f>IF(D48="Pitched",IF(N(K48)&gt;=5,"Follow up",""),IF(AND(D48="Delivered",I48&lt;&gt;"",TODAY()-I48&gt;=30),"Chase payment",""))</f>
        <v/>
      </c>
    </row>
    <row r="49">
      <c r="A49" s="17" t="n"/>
      <c r="B49" s="17" t="n"/>
      <c r="C49" s="17" t="n"/>
      <c r="D49" s="17" t="n"/>
      <c r="E49" s="18" t="n"/>
      <c r="F49" s="19" t="n"/>
      <c r="G49" s="20" t="n"/>
      <c r="H49" s="18" t="n"/>
      <c r="I49" s="18" t="n"/>
      <c r="J49" s="18" t="n"/>
      <c r="K49" s="21">
        <f>IF(E49="","",TODAY()-E49)</f>
        <v/>
      </c>
      <c r="L49" s="22">
        <f>IF(D49="Pitched",IF(N(K49)&gt;=5,"Follow up",""),IF(AND(D49="Delivered",I49&lt;&gt;"",TODAY()-I49&gt;=30),"Chase payment",""))</f>
        <v/>
      </c>
    </row>
    <row r="50">
      <c r="A50" s="17" t="n"/>
      <c r="B50" s="17" t="n"/>
      <c r="C50" s="17" t="n"/>
      <c r="D50" s="17" t="n"/>
      <c r="E50" s="18" t="n"/>
      <c r="F50" s="19" t="n"/>
      <c r="G50" s="20" t="n"/>
      <c r="H50" s="18" t="n"/>
      <c r="I50" s="18" t="n"/>
      <c r="J50" s="18" t="n"/>
      <c r="K50" s="21">
        <f>IF(E50="","",TODAY()-E50)</f>
        <v/>
      </c>
      <c r="L50" s="22">
        <f>IF(D50="Pitched",IF(N(K50)&gt;=5,"Follow up",""),IF(AND(D50="Delivered",I50&lt;&gt;"",TODAY()-I50&gt;=30),"Chase payment",""))</f>
        <v/>
      </c>
    </row>
    <row r="51">
      <c r="A51" s="17" t="n"/>
      <c r="B51" s="17" t="n"/>
      <c r="C51" s="17" t="n"/>
      <c r="D51" s="17" t="n"/>
      <c r="E51" s="18" t="n"/>
      <c r="F51" s="19" t="n"/>
      <c r="G51" s="20" t="n"/>
      <c r="H51" s="18" t="n"/>
      <c r="I51" s="18" t="n"/>
      <c r="J51" s="18" t="n"/>
      <c r="K51" s="21">
        <f>IF(E51="","",TODAY()-E51)</f>
        <v/>
      </c>
      <c r="L51" s="22">
        <f>IF(D51="Pitched",IF(N(K51)&gt;=5,"Follow up",""),IF(AND(D51="Delivered",I51&lt;&gt;"",TODAY()-I51&gt;=30),"Chase payment",""))</f>
        <v/>
      </c>
    </row>
    <row r="52">
      <c r="A52" s="17" t="n"/>
      <c r="B52" s="17" t="n"/>
      <c r="C52" s="17" t="n"/>
      <c r="D52" s="17" t="n"/>
      <c r="E52" s="18" t="n"/>
      <c r="F52" s="19" t="n"/>
      <c r="G52" s="20" t="n"/>
      <c r="H52" s="18" t="n"/>
      <c r="I52" s="18" t="n"/>
      <c r="J52" s="18" t="n"/>
      <c r="K52" s="21">
        <f>IF(E52="","",TODAY()-E52)</f>
        <v/>
      </c>
      <c r="L52" s="22">
        <f>IF(D52="Pitched",IF(N(K52)&gt;=5,"Follow up",""),IF(AND(D52="Delivered",I52&lt;&gt;"",TODAY()-I52&gt;=30),"Chase payment",""))</f>
        <v/>
      </c>
    </row>
    <row r="53">
      <c r="A53" s="17" t="n"/>
      <c r="B53" s="17" t="n"/>
      <c r="C53" s="17" t="n"/>
      <c r="D53" s="17" t="n"/>
      <c r="E53" s="18" t="n"/>
      <c r="F53" s="19" t="n"/>
      <c r="G53" s="20" t="n"/>
      <c r="H53" s="18" t="n"/>
      <c r="I53" s="18" t="n"/>
      <c r="J53" s="18" t="n"/>
      <c r="K53" s="21">
        <f>IF(E53="","",TODAY()-E53)</f>
        <v/>
      </c>
      <c r="L53" s="22">
        <f>IF(D53="Pitched",IF(N(K53)&gt;=5,"Follow up",""),IF(AND(D53="Delivered",I53&lt;&gt;"",TODAY()-I53&gt;=30),"Chase payment",""))</f>
        <v/>
      </c>
    </row>
    <row r="54">
      <c r="A54" s="17" t="n"/>
      <c r="B54" s="17" t="n"/>
      <c r="C54" s="17" t="n"/>
      <c r="D54" s="17" t="n"/>
      <c r="E54" s="18" t="n"/>
      <c r="F54" s="19" t="n"/>
      <c r="G54" s="20" t="n"/>
      <c r="H54" s="18" t="n"/>
      <c r="I54" s="18" t="n"/>
      <c r="J54" s="18" t="n"/>
      <c r="K54" s="21">
        <f>IF(E54="","",TODAY()-E54)</f>
        <v/>
      </c>
      <c r="L54" s="22">
        <f>IF(D54="Pitched",IF(N(K54)&gt;=5,"Follow up",""),IF(AND(D54="Delivered",I54&lt;&gt;"",TODAY()-I54&gt;=30),"Chase payment",""))</f>
        <v/>
      </c>
    </row>
    <row r="55">
      <c r="A55" s="17" t="n"/>
      <c r="B55" s="17" t="n"/>
      <c r="C55" s="17" t="n"/>
      <c r="D55" s="17" t="n"/>
      <c r="E55" s="18" t="n"/>
      <c r="F55" s="19" t="n"/>
      <c r="G55" s="20" t="n"/>
      <c r="H55" s="18" t="n"/>
      <c r="I55" s="18" t="n"/>
      <c r="J55" s="18" t="n"/>
      <c r="K55" s="21">
        <f>IF(E55="","",TODAY()-E55)</f>
        <v/>
      </c>
      <c r="L55" s="22">
        <f>IF(D55="Pitched",IF(N(K55)&gt;=5,"Follow up",""),IF(AND(D55="Delivered",I55&lt;&gt;"",TODAY()-I55&gt;=30),"Chase payment",""))</f>
        <v/>
      </c>
    </row>
    <row r="56">
      <c r="A56" s="17" t="n"/>
      <c r="B56" s="17" t="n"/>
      <c r="C56" s="17" t="n"/>
      <c r="D56" s="17" t="n"/>
      <c r="E56" s="18" t="n"/>
      <c r="F56" s="19" t="n"/>
      <c r="G56" s="20" t="n"/>
      <c r="H56" s="18" t="n"/>
      <c r="I56" s="18" t="n"/>
      <c r="J56" s="18" t="n"/>
      <c r="K56" s="21">
        <f>IF(E56="","",TODAY()-E56)</f>
        <v/>
      </c>
      <c r="L56" s="22">
        <f>IF(D56="Pitched",IF(N(K56)&gt;=5,"Follow up",""),IF(AND(D56="Delivered",I56&lt;&gt;"",TODAY()-I56&gt;=30),"Chase payment",""))</f>
        <v/>
      </c>
    </row>
    <row r="57">
      <c r="A57" s="17" t="n"/>
      <c r="B57" s="17" t="n"/>
      <c r="C57" s="17" t="n"/>
      <c r="D57" s="17" t="n"/>
      <c r="E57" s="18" t="n"/>
      <c r="F57" s="19" t="n"/>
      <c r="G57" s="20" t="n"/>
      <c r="H57" s="18" t="n"/>
      <c r="I57" s="18" t="n"/>
      <c r="J57" s="18" t="n"/>
      <c r="K57" s="21">
        <f>IF(E57="","",TODAY()-E57)</f>
        <v/>
      </c>
      <c r="L57" s="22">
        <f>IF(D57="Pitched",IF(N(K57)&gt;=5,"Follow up",""),IF(AND(D57="Delivered",I57&lt;&gt;"",TODAY()-I57&gt;=30),"Chase payment",""))</f>
        <v/>
      </c>
    </row>
    <row r="58">
      <c r="A58" s="17" t="n"/>
      <c r="B58" s="17" t="n"/>
      <c r="C58" s="17" t="n"/>
      <c r="D58" s="17" t="n"/>
      <c r="E58" s="18" t="n"/>
      <c r="F58" s="19" t="n"/>
      <c r="G58" s="20" t="n"/>
      <c r="H58" s="18" t="n"/>
      <c r="I58" s="18" t="n"/>
      <c r="J58" s="18" t="n"/>
      <c r="K58" s="21">
        <f>IF(E58="","",TODAY()-E58)</f>
        <v/>
      </c>
      <c r="L58" s="22">
        <f>IF(D58="Pitched",IF(N(K58)&gt;=5,"Follow up",""),IF(AND(D58="Delivered",I58&lt;&gt;"",TODAY()-I58&gt;=30),"Chase payment",""))</f>
        <v/>
      </c>
    </row>
    <row r="59">
      <c r="A59" s="17" t="n"/>
      <c r="B59" s="17" t="n"/>
      <c r="C59" s="17" t="n"/>
      <c r="D59" s="17" t="n"/>
      <c r="E59" s="18" t="n"/>
      <c r="F59" s="19" t="n"/>
      <c r="G59" s="20" t="n"/>
      <c r="H59" s="18" t="n"/>
      <c r="I59" s="18" t="n"/>
      <c r="J59" s="18" t="n"/>
      <c r="K59" s="21">
        <f>IF(E59="","",TODAY()-E59)</f>
        <v/>
      </c>
      <c r="L59" s="22">
        <f>IF(D59="Pitched",IF(N(K59)&gt;=5,"Follow up",""),IF(AND(D59="Delivered",I59&lt;&gt;"",TODAY()-I59&gt;=30),"Chase payment",""))</f>
        <v/>
      </c>
    </row>
    <row r="60">
      <c r="A60" s="17" t="n"/>
      <c r="B60" s="17" t="n"/>
      <c r="C60" s="17" t="n"/>
      <c r="D60" s="17" t="n"/>
      <c r="E60" s="18" t="n"/>
      <c r="F60" s="19" t="n"/>
      <c r="G60" s="20" t="n"/>
      <c r="H60" s="18" t="n"/>
      <c r="I60" s="18" t="n"/>
      <c r="J60" s="18" t="n"/>
      <c r="K60" s="21">
        <f>IF(E60="","",TODAY()-E60)</f>
        <v/>
      </c>
      <c r="L60" s="22">
        <f>IF(D60="Pitched",IF(N(K60)&gt;=5,"Follow up",""),IF(AND(D60="Delivered",I60&lt;&gt;"",TODAY()-I60&gt;=30),"Chase payment",""))</f>
        <v/>
      </c>
    </row>
    <row r="61">
      <c r="A61" s="17" t="n"/>
      <c r="B61" s="17" t="n"/>
      <c r="C61" s="17" t="n"/>
      <c r="D61" s="17" t="n"/>
      <c r="E61" s="18" t="n"/>
      <c r="F61" s="19" t="n"/>
      <c r="G61" s="20" t="n"/>
      <c r="H61" s="18" t="n"/>
      <c r="I61" s="18" t="n"/>
      <c r="J61" s="18" t="n"/>
      <c r="K61" s="21">
        <f>IF(E61="","",TODAY()-E61)</f>
        <v/>
      </c>
      <c r="L61" s="22">
        <f>IF(D61="Pitched",IF(N(K61)&gt;=5,"Follow up",""),IF(AND(D61="Delivered",I61&lt;&gt;"",TODAY()-I61&gt;=30),"Chase payment",""))</f>
        <v/>
      </c>
    </row>
    <row r="62">
      <c r="A62" s="17" t="n"/>
      <c r="B62" s="17" t="n"/>
      <c r="C62" s="17" t="n"/>
      <c r="D62" s="17" t="n"/>
      <c r="E62" s="18" t="n"/>
      <c r="F62" s="19" t="n"/>
      <c r="G62" s="20" t="n"/>
      <c r="H62" s="18" t="n"/>
      <c r="I62" s="18" t="n"/>
      <c r="J62" s="18" t="n"/>
      <c r="K62" s="21">
        <f>IF(E62="","",TODAY()-E62)</f>
        <v/>
      </c>
      <c r="L62" s="22">
        <f>IF(D62="Pitched",IF(N(K62)&gt;=5,"Follow up",""),IF(AND(D62="Delivered",I62&lt;&gt;"",TODAY()-I62&gt;=30),"Chase payment",""))</f>
        <v/>
      </c>
    </row>
    <row r="63">
      <c r="A63" s="17" t="n"/>
      <c r="B63" s="17" t="n"/>
      <c r="C63" s="17" t="n"/>
      <c r="D63" s="17" t="n"/>
      <c r="E63" s="18" t="n"/>
      <c r="F63" s="19" t="n"/>
      <c r="G63" s="20" t="n"/>
      <c r="H63" s="18" t="n"/>
      <c r="I63" s="18" t="n"/>
      <c r="J63" s="18" t="n"/>
      <c r="K63" s="21">
        <f>IF(E63="","",TODAY()-E63)</f>
        <v/>
      </c>
      <c r="L63" s="22">
        <f>IF(D63="Pitched",IF(N(K63)&gt;=5,"Follow up",""),IF(AND(D63="Delivered",I63&lt;&gt;"",TODAY()-I63&gt;=30),"Chase payment",""))</f>
        <v/>
      </c>
    </row>
  </sheetData>
  <autoFilter ref="A3:L63"/>
  <conditionalFormatting sqref="L4:L63">
    <cfRule type="expression" priority="1" dxfId="0" stopIfTrue="0">
      <formula>$L4&lt;&gt;""</formula>
    </cfRule>
  </conditionalFormatting>
  <conditionalFormatting sqref="D4:D63">
    <cfRule type="expression" priority="2" dxfId="1" stopIfTrue="0">
      <formula>$D4="Paid"</formula>
    </cfRule>
  </conditionalFormatting>
  <dataValidations count="2">
    <dataValidation sqref="C4:C63" showDropDown="0" showInputMessage="0" showErrorMessage="0" allowBlank="1" type="list">
      <formula1>"Email,Instagram DM,TikTok,Platform,Intro"</formula1>
    </dataValidation>
    <dataValidation sqref="D4:D63" showDropDown="0" showInputMessage="0" showErrorMessage="0" allowBlank="1" type="list">
      <formula1>"Pitched,Talking,Agreed,Delivered,Paid,Passed"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tabSelected="0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 ht="26" customHeight="1">
      <c r="A1" s="13" t="inlineStr">
        <is>
          <t>Deals summary</t>
        </is>
      </c>
    </row>
    <row r="2">
      <c r="A2" s="14" t="inlineStr">
        <is>
          <t>Calculated from the Deals tab.</t>
        </is>
      </c>
    </row>
    <row r="4">
      <c r="A4" s="1" t="inlineStr">
        <is>
          <t>YOUR PIPELINE</t>
        </is>
      </c>
    </row>
    <row r="5">
      <c r="A5" s="23" t="inlineStr">
        <is>
          <t>Brands pitched</t>
        </is>
      </c>
      <c r="B5" s="24">
        <f>COUNTA('Deals'!$A$4:$A$63)</f>
        <v/>
      </c>
    </row>
    <row r="6">
      <c r="A6" s="23" t="inlineStr">
        <is>
          <t>Waiting for a reply</t>
        </is>
      </c>
      <c r="B6" s="24">
        <f>COUNTIF('Deals'!$D$4:$D$63,"Pitched")</f>
        <v/>
      </c>
    </row>
    <row r="7">
      <c r="A7" s="25" t="inlineStr">
        <is>
          <t>Follow-ups due today</t>
        </is>
      </c>
      <c r="B7" s="26">
        <f>COUNTIF('Deals'!$L$4:$L$63,"Follow up")</f>
        <v/>
      </c>
    </row>
    <row r="8">
      <c r="A8" s="23" t="inlineStr">
        <is>
          <t>Agreed, not delivered ($)</t>
        </is>
      </c>
      <c r="B8" s="27">
        <f>SUMIF('Deals'!$D$4:$D$63,"Agreed",'Deals'!$G$4:$G$63)</f>
        <v/>
      </c>
    </row>
    <row r="9">
      <c r="A9" s="25" t="inlineStr">
        <is>
          <t>Delivered, not paid yet ($)</t>
        </is>
      </c>
      <c r="B9" s="28">
        <f>SUMIF('Deals'!$D$4:$D$63,"Delivered",'Deals'!$G$4:$G$63)</f>
        <v/>
      </c>
    </row>
    <row r="10">
      <c r="A10" s="23" t="inlineStr">
        <is>
          <t>Paid ($)</t>
        </is>
      </c>
      <c r="B10" s="27">
        <f>SUMIF('Deals'!$D$4:$D$63,"Paid",'Deals'!$G$4:$G$63)</f>
        <v/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127</dc:creator>
  <dc:title xmlns:dc="http://purl.org/dc/elements/1.1/">Brand Deal Tracker</dc:title>
  <dcterms:created xmlns:dcterms="http://purl.org/dc/terms/" xmlns:xsi="http://www.w3.org/2001/XMLSchema-instance" xsi:type="dcterms:W3CDTF">2026-10-20T03:40:07Z</dcterms:created>
  <dcterms:modified xmlns:dcterms="http://purl.org/dc/terms/" xmlns:xsi="http://www.w3.org/2001/XMLSchema-instance" xsi:type="dcterms:W3CDTF">2026-10-20T03:40:07Z</dcterms:modified>
</cp:coreProperties>
</file>