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Scorecard" sheetId="2" state="visible" r:id="rId2"/>
    <sheet xmlns:r="http://schemas.openxmlformats.org/officeDocument/2006/relationships" name="This week" sheetId="3" state="visible" r:id="rId3"/>
    <sheet xmlns:r="http://schemas.openxmlformats.org/officeDocument/2006/relationships" name="Charts" sheetId="4" state="visible" r:id="rId4"/>
  </sheets>
  <definedNames>
    <definedName name="_xlnm._FilterDatabase" localSheetId="1" hidden="1">'Scorecard'!$A$3:$AA$16</definedName>
    <definedName name="_xlnm.Print_Titles" localSheetId="1">'Scorecard'!$3:$3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ddd, mmm d"/>
    <numFmt numFmtId="165" formatCode="&quot;$&quot;#,##0"/>
    <numFmt numFmtId="166" formatCode="#,##0.0"/>
    <numFmt numFmtId="167" formatCode="0.0%"/>
  </numFmts>
  <fonts count="14">
    <font>
      <name val="Calibri"/>
      <family val="2"/>
      <color theme="1"/>
      <sz val="11"/>
      <scheme val="minor"/>
    </font>
    <font>
      <name val="Arial"/>
      <b val="1"/>
      <color rgb="007B7B86"/>
      <sz val="9"/>
    </font>
    <font>
      <name val="Arial"/>
      <b val="1"/>
      <color rgb="00060607"/>
      <sz val="22"/>
    </font>
    <font>
      <name val="Arial"/>
      <color rgb="005A5A66"/>
      <sz val="11"/>
    </font>
    <font>
      <name val="Arial"/>
      <color rgb="001B1B20"/>
      <sz val="11"/>
    </font>
    <font>
      <name val="Arial"/>
      <color rgb="001B1B20"/>
      <sz val="10"/>
    </font>
    <font>
      <name val="Arial"/>
      <color rgb="005A5A66"/>
      <sz val="10"/>
    </font>
    <font>
      <name val="Arial"/>
      <i val="1"/>
      <color rgb="005A5A66"/>
      <sz val="10"/>
    </font>
    <font>
      <name val="Arial"/>
      <b val="1"/>
      <color rgb="001B1B20"/>
      <sz val="10"/>
    </font>
    <font>
      <name val="Arial"/>
      <color rgb="007B7B86"/>
      <sz val="8"/>
    </font>
    <font>
      <name val="Arial"/>
      <b val="1"/>
      <color rgb="00060607"/>
      <sz val="14"/>
    </font>
    <font>
      <name val="Arial"/>
      <color rgb="007B7B86"/>
      <sz val="9"/>
    </font>
    <font>
      <name val="Arial"/>
      <b val="1"/>
      <color rgb="00FFFFFF"/>
      <sz val="9"/>
    </font>
    <font>
      <name val="Arial"/>
      <color rgb="003A3A44"/>
      <sz val="10"/>
    </font>
  </fonts>
  <fills count="7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2F2F5"/>
        <bgColor rgb="00F2F2F5"/>
      </patternFill>
    </fill>
    <fill>
      <patternFill patternType="solid">
        <fgColor rgb="00ECEEFB"/>
        <bgColor rgb="00ECEEFB"/>
      </patternFill>
    </fill>
    <fill>
      <patternFill patternType="solid">
        <fgColor rgb="00060607"/>
        <bgColor rgb="00060607"/>
      </patternFill>
    </fill>
    <fill>
      <patternFill patternType="solid">
        <fgColor rgb="002B2B33"/>
        <bgColor rgb="002B2B33"/>
      </patternFill>
    </fill>
  </fills>
  <borders count="4">
    <border>
      <left/>
      <right/>
      <top/>
      <bottom/>
      <diagonal/>
    </border>
    <border>
      <left style="thin">
        <color rgb="00D9D9DE"/>
      </left>
      <right style="thin">
        <color rgb="00D9D9DE"/>
      </right>
      <top style="thin">
        <color rgb="00D9D9DE"/>
      </top>
      <bottom style="thin">
        <color rgb="00D9D9DE"/>
      </bottom>
    </border>
    <border>
      <left style="thin">
        <color rgb="003A3A44"/>
      </left>
      <right style="thin">
        <color rgb="003A3A44"/>
      </right>
    </border>
    <border>
      <bottom style="thin">
        <color rgb="00D9D9DE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pivotButton="0" quotePrefix="0" xfId="0"/>
    <xf numFmtId="0" fontId="5" fillId="3" borderId="1" pivotButton="0" quotePrefix="0" xfId="0"/>
    <xf numFmtId="0" fontId="5" fillId="4" borderId="1" pivotButton="0" quotePrefix="0" xfId="0"/>
    <xf numFmtId="0" fontId="6" fillId="0" borderId="0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5" borderId="2" applyAlignment="1" pivotButton="0" quotePrefix="0" xfId="0">
      <alignment horizontal="left" vertical="center" wrapText="1"/>
    </xf>
    <xf numFmtId="0" fontId="12" fillId="6" borderId="2" applyAlignment="1" pivotButton="0" quotePrefix="0" xfId="0">
      <alignment horizontal="left" vertical="center" wrapText="1"/>
    </xf>
    <xf numFmtId="0" fontId="5" fillId="2" borderId="1" applyAlignment="1" pivotButton="0" quotePrefix="0" xfId="0">
      <alignment vertical="top"/>
    </xf>
    <xf numFmtId="164" fontId="5" fillId="2" borderId="1" applyAlignment="1" pivotButton="0" quotePrefix="0" xfId="0">
      <alignment vertical="top"/>
    </xf>
    <xf numFmtId="3" fontId="5" fillId="2" borderId="1" applyAlignment="1" pivotButton="0" quotePrefix="0" xfId="0">
      <alignment vertical="top"/>
    </xf>
    <xf numFmtId="165" fontId="5" fillId="2" borderId="1" applyAlignment="1" pivotButton="0" quotePrefix="0" xfId="0">
      <alignment vertical="top"/>
    </xf>
    <xf numFmtId="166" fontId="5" fillId="2" borderId="1" applyAlignment="1" pivotButton="0" quotePrefix="0" xfId="0">
      <alignment vertical="top"/>
    </xf>
    <xf numFmtId="167" fontId="13" fillId="3" borderId="1" applyAlignment="1" pivotButton="0" quotePrefix="0" xfId="0">
      <alignment vertical="top"/>
    </xf>
    <xf numFmtId="9" fontId="13" fillId="3" borderId="1" applyAlignment="1" pivotButton="0" quotePrefix="0" xfId="0">
      <alignment vertical="top"/>
    </xf>
    <xf numFmtId="165" fontId="13" fillId="3" borderId="1" applyAlignment="1" pivotButton="0" quotePrefix="0" xfId="0">
      <alignment vertical="top"/>
    </xf>
    <xf numFmtId="0" fontId="8" fillId="4" borderId="1" applyAlignment="1" pivotButton="0" quotePrefix="0" xfId="0">
      <alignment vertical="top"/>
    </xf>
    <xf numFmtId="0" fontId="13" fillId="3" borderId="1" applyAlignment="1" pivotButton="0" quotePrefix="0" xfId="0">
      <alignment vertical="top"/>
    </xf>
    <xf numFmtId="0" fontId="5" fillId="0" borderId="3" applyAlignment="1" pivotButton="0" quotePrefix="0" xfId="0">
      <alignment vertical="top" wrapText="1"/>
    </xf>
    <xf numFmtId="3" fontId="5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9" fontId="5" fillId="3" borderId="1" applyAlignment="1" pivotButton="0" quotePrefix="0" xfId="0">
      <alignment vertical="top" wrapText="1"/>
    </xf>
    <xf numFmtId="165" fontId="5" fillId="3" borderId="1" applyAlignment="1" pivotButton="0" quotePrefix="0" xfId="0">
      <alignment vertical="top" wrapText="1"/>
    </xf>
    <xf numFmtId="167" fontId="5" fillId="3" borderId="1" applyAlignment="1" pivotButton="0" quotePrefix="0" xfId="0">
      <alignment vertical="top" wrapText="1"/>
    </xf>
    <xf numFmtId="0" fontId="8" fillId="0" borderId="3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FBE3DE"/>
          <bgColor rgb="00FBE3DE"/>
        </patternFill>
      </fill>
    </dxf>
    <dxf>
      <fill>
        <patternFill patternType="solid">
          <fgColor rgb="00DDF3E7"/>
          <bgColor rgb="00DDF3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Reach and visits</a:t>
            </a:r>
          </a:p>
        </rich>
      </tx>
    </title>
    <plotArea>
      <lineChart>
        <grouping val="standard"/>
        <ser>
          <idx val="0"/>
          <order val="0"/>
          <tx>
            <strRef>
              <f>'Scorecard'!C3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'Scorecard'!$A$4:$A$16</f>
            </numRef>
          </cat>
          <val>
            <numRef>
              <f>'Scorecard'!$C$4:$C$16</f>
            </numRef>
          </val>
        </ser>
        <ser>
          <idx val="1"/>
          <order val="1"/>
          <tx>
            <strRef>
              <f>'Scorecard'!D3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'Scorecard'!$A$4:$A$16</f>
            </numRef>
          </cat>
          <val>
            <numRef>
              <f>'Scorecard'!$D$4:$D$16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Leads and sales</a:t>
            </a:r>
          </a:p>
        </rich>
      </tx>
    </title>
    <plotArea>
      <lineChart>
        <grouping val="standard"/>
        <ser>
          <idx val="0"/>
          <order val="0"/>
          <tx>
            <strRef>
              <f>'Scorecard'!E3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'Scorecard'!$A$4:$A$16</f>
            </numRef>
          </cat>
          <val>
            <numRef>
              <f>'Scorecard'!$E$4:$E$16</f>
            </numRef>
          </val>
        </ser>
        <ser>
          <idx val="1"/>
          <order val="1"/>
          <tx>
            <strRef>
              <f>'Scorecard'!F3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'Scorecard'!$A$4:$A$16</f>
            </numRef>
          </cat>
          <val>
            <numRef>
              <f>'Scorecard'!$F$4:$F$16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($)</a:t>
            </a:r>
          </a:p>
        </rich>
      </tx>
    </title>
    <plotArea>
      <lineChart>
        <grouping val="standard"/>
        <ser>
          <idx val="0"/>
          <order val="0"/>
          <tx>
            <strRef>
              <f>'Scorecard'!G3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'Scorecard'!$A$4:$A$16</f>
            </numRef>
          </cat>
          <val>
            <numRef>
              <f>'Scorecard'!$G$4:$G$16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19</row>
      <rowOff>0</rowOff>
    </from>
    <ext cx="576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35</row>
      <rowOff>0</rowOff>
    </from>
    <ext cx="576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8"/>
  <sheetViews>
    <sheetView showGridLines="0" tabSelected="1" workbookViewId="0">
      <selection activeCell="A1" sqref="A1"/>
    </sheetView>
  </sheetViews>
  <sheetFormatPr baseColWidth="8" defaultRowHeight="15"/>
  <cols>
    <col width="3" customWidth="1" min="1" max="1"/>
    <col width="96" customWidth="1" min="2" max="2"/>
  </cols>
  <sheetData>
    <row r="2">
      <c r="B2" s="1" t="inlineStr">
        <is>
          <t>127  ·  GROW TRACK  ·  BUILDER</t>
        </is>
      </c>
    </row>
    <row r="3" ht="34" customHeight="1">
      <c r="B3" s="2" t="inlineStr">
        <is>
          <t>Weekly Founder Scorecard</t>
        </is>
      </c>
    </row>
    <row r="4" ht="30" customHeight="1">
      <c r="B4" s="3" t="inlineStr">
        <is>
          <t>Ten minutes every Monday: your five numbers, the conversion rate between each step, week-over-week change and one decision for next week.</t>
        </is>
      </c>
    </row>
    <row r="6">
      <c r="B6" s="1" t="inlineStr">
        <is>
          <t>HOW TO USE IT</t>
        </is>
      </c>
    </row>
    <row r="7" ht="32" customHeight="1">
      <c r="B7" s="4" t="inlineStr">
        <is>
          <t>1.  Each Monday, pull last week's numbers from the same places: platform analytics, site dashboard, DMs, payment app.</t>
        </is>
      </c>
    </row>
    <row r="8" ht="16" customHeight="1">
      <c r="B8" s="4" t="inlineStr">
        <is>
          <t>2.  Type them into the next row of the Scorecard tab. Zero is a number. Enter it.</t>
        </is>
      </c>
    </row>
    <row r="9" ht="16" customHeight="1">
      <c r="B9" s="4" t="inlineStr">
        <is>
          <t>3.  Add your inputs too: posts, messages sent, hours. When everything drops, check these first.</t>
        </is>
      </c>
    </row>
    <row r="10" ht="32" customHeight="1">
      <c r="B10" s="4" t="inlineStr">
        <is>
          <t>4.  Read the grey columns: each conversion rate, the change from last week and the biggest drop.</t>
        </is>
      </c>
    </row>
    <row r="11" ht="16" customHeight="1">
      <c r="B11" s="4" t="inlineStr">
        <is>
          <t>5.  Write one double down, one pause, one kill and the one test for next week.</t>
        </is>
      </c>
    </row>
    <row r="12" ht="32" customHeight="1">
      <c r="B12" s="4" t="inlineStr">
        <is>
          <t>6.  Open This week for the summary and the Charts tab for the trend. One week is a data point. Three is a trend.</t>
        </is>
      </c>
    </row>
    <row r="13" ht="32" customHeight="1">
      <c r="B13" s="4" t="inlineStr">
        <is>
          <t>7.  Want it emailed to you every Monday? Set up the Monday Scorecard Email recipe on this sheet.</t>
        </is>
      </c>
    </row>
    <row r="15">
      <c r="B15" s="1" t="inlineStr">
        <is>
          <t>CELL COLORS</t>
        </is>
      </c>
    </row>
    <row r="16">
      <c r="B16" s="5" t="inlineStr">
        <is>
          <t>White cells: you type here.</t>
        </is>
      </c>
    </row>
    <row r="17">
      <c r="B17" s="6" t="inlineStr">
        <is>
          <t>Grey cells: calculated for you. Leave them alone.</t>
        </is>
      </c>
    </row>
    <row r="18">
      <c r="B18" s="7" t="inlineStr">
        <is>
          <t>Lilac cells: the answer you came for.</t>
        </is>
      </c>
    </row>
    <row r="20">
      <c r="B20" s="1" t="inlineStr">
        <is>
          <t>OPEN IT ANYWHERE</t>
        </is>
      </c>
    </row>
    <row r="21" ht="30" customHeight="1">
      <c r="B21" s="8" t="inlineStr">
        <is>
          <t>Google Sheets: go to sheets.new, then File &gt; Import &gt; Upload this file &gt; Replace spreadsheet. Formulas and dropdowns come with it.</t>
        </is>
      </c>
    </row>
    <row r="22" ht="15" customHeight="1">
      <c r="B22" s="8" t="inlineStr">
        <is>
          <t>Excel: double-click the file. Numbers on a Mac: open it with Numbers.</t>
        </is>
      </c>
    </row>
    <row r="23" ht="15" customHeight="1">
      <c r="B23" s="8" t="inlineStr">
        <is>
          <t>Phone: upload it to Google Drive, then open it in the Google Sheets app.</t>
        </is>
      </c>
    </row>
    <row r="25" ht="30" customHeight="1">
      <c r="B25" s="9" t="inlineStr">
        <is>
          <t>Revenue here is money in, not profit. Your bookkeeping, and a professional when you need one, handles the rest.</t>
        </is>
      </c>
    </row>
    <row r="27">
      <c r="B27" s="10" t="inlineStr">
        <is>
          <t>Make today day one.  ·  127group.io</t>
        </is>
      </c>
    </row>
    <row r="28">
      <c r="B28" s="11" t="inlineStr">
        <is>
          <t>Template drafted from Eli Christiansen's frameworks. © 127 Group LLC. For your own business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A16"/>
  <sheetViews>
    <sheetView showGridLines="0" tabSelected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11" customWidth="1" min="3" max="3"/>
    <col width="10" customWidth="1" min="4" max="4"/>
    <col width="10" customWidth="1" min="5" max="5"/>
    <col width="10" customWidth="1" min="6" max="6"/>
    <col width="10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16" customWidth="1" min="19" max="19"/>
    <col width="20" customWidth="1" min="20" max="20"/>
    <col width="16" customWidth="1" min="21" max="21"/>
    <col width="16" customWidth="1" min="22" max="22"/>
    <col width="22" customWidth="1" min="23" max="23"/>
    <col width="18" customWidth="1" min="24" max="24"/>
    <col hidden="1" width="5" customWidth="1" min="25" max="25"/>
    <col hidden="1" width="5" customWidth="1" min="26" max="26"/>
    <col hidden="1" width="5" customWidth="1" min="27" max="27"/>
  </cols>
  <sheetData>
    <row r="1" ht="26" customHeight="1">
      <c r="A1" s="12" t="inlineStr">
        <is>
          <t>Weekly Founder Scorecard</t>
        </is>
      </c>
    </row>
    <row r="2" ht="16" customHeight="1">
      <c r="A2" s="13" t="inlineStr">
        <is>
          <t>Same day, same sources, every week. Grey columns do the math.</t>
        </is>
      </c>
    </row>
    <row r="3" ht="40" customHeight="1">
      <c r="A3" s="14" t="inlineStr">
        <is>
          <t>Week</t>
        </is>
      </c>
      <c r="B3" s="14" t="inlineStr">
        <is>
          <t>Week of (Monday)</t>
        </is>
      </c>
      <c r="C3" s="14" t="inlineStr">
        <is>
          <t>Reach (views, impressions)</t>
        </is>
      </c>
      <c r="D3" s="14" t="inlineStr">
        <is>
          <t>Visits (profile or site)</t>
        </is>
      </c>
      <c r="E3" s="14" t="inlineStr">
        <is>
          <t>Leads (DMs, forms, calls)</t>
        </is>
      </c>
      <c r="F3" s="14" t="inlineStr">
        <is>
          <t>Sales (orders, customers)</t>
        </is>
      </c>
      <c r="G3" s="14" t="inlineStr">
        <is>
          <t>Revenue ($)</t>
        </is>
      </c>
      <c r="H3" s="14" t="inlineStr">
        <is>
          <t>Posts published</t>
        </is>
      </c>
      <c r="I3" s="14" t="inlineStr">
        <is>
          <t>Messages sent</t>
        </is>
      </c>
      <c r="J3" s="14" t="inlineStr">
        <is>
          <t>Hours on the business</t>
        </is>
      </c>
      <c r="K3" s="15" t="inlineStr">
        <is>
          <t>Reach to visits</t>
        </is>
      </c>
      <c r="L3" s="15" t="inlineStr">
        <is>
          <t>Visits to leads</t>
        </is>
      </c>
      <c r="M3" s="15" t="inlineStr">
        <is>
          <t>Leads to sales</t>
        </is>
      </c>
      <c r="N3" s="15" t="inlineStr">
        <is>
          <t>Revenue per sale</t>
        </is>
      </c>
      <c r="O3" s="15" t="inlineStr">
        <is>
          <t>Reach vs last week</t>
        </is>
      </c>
      <c r="P3" s="15" t="inlineStr">
        <is>
          <t>Leads vs last week</t>
        </is>
      </c>
      <c r="Q3" s="15" t="inlineStr">
        <is>
          <t>Sales vs last week</t>
        </is>
      </c>
      <c r="R3" s="15" t="inlineStr">
        <is>
          <t>Revenue vs last week</t>
        </is>
      </c>
      <c r="S3" s="15" t="inlineStr">
        <is>
          <t>Biggest drop in a rate</t>
        </is>
      </c>
      <c r="T3" s="14" t="inlineStr">
        <is>
          <t>Double down on</t>
        </is>
      </c>
      <c r="U3" s="14" t="inlineStr">
        <is>
          <t>Pause</t>
        </is>
      </c>
      <c r="V3" s="14" t="inlineStr">
        <is>
          <t>Kill</t>
        </is>
      </c>
      <c r="W3" s="14" t="inlineStr">
        <is>
          <t>One test next week</t>
        </is>
      </c>
      <c r="X3" s="14" t="inlineStr">
        <is>
          <t>Where the numbers came from</t>
        </is>
      </c>
      <c r="Y3" s="15" t="inlineStr">
        <is>
          <t>h1</t>
        </is>
      </c>
      <c r="Z3" s="15" t="inlineStr">
        <is>
          <t>h2</t>
        </is>
      </c>
      <c r="AA3" s="15" t="inlineStr">
        <is>
          <t>h3</t>
        </is>
      </c>
    </row>
    <row r="4" ht="30" customHeight="1">
      <c r="A4" s="16" t="n">
        <v>1</v>
      </c>
      <c r="B4" s="17" t="n"/>
      <c r="C4" s="18" t="n"/>
      <c r="D4" s="18" t="n"/>
      <c r="E4" s="18" t="n"/>
      <c r="F4" s="18" t="n"/>
      <c r="G4" s="19" t="n"/>
      <c r="H4" s="18" t="n"/>
      <c r="I4" s="18" t="n"/>
      <c r="J4" s="20" t="n"/>
      <c r="K4" s="21">
        <f>IF(OR(D4="",N(C4)=0),"",D4/C4)</f>
        <v/>
      </c>
      <c r="L4" s="21">
        <f>IF(OR(E4="",N(D4)=0),"",E4/D4)</f>
        <v/>
      </c>
      <c r="M4" s="22">
        <f>IF(OR(F4="",N(E4)=0),"",F4/E4)</f>
        <v/>
      </c>
      <c r="N4" s="23">
        <f>IF(OR(G4="",N(F4)=0),"",G4/F4)</f>
        <v/>
      </c>
      <c r="O4" s="22">
        <f>IF(OR(1=1,C4="",N(C3)=0),"",C4/C3-1)</f>
        <v/>
      </c>
      <c r="P4" s="22">
        <f>IF(OR(1=1,E4="",N(E3)=0),"",E4/E3-1)</f>
        <v/>
      </c>
      <c r="Q4" s="22">
        <f>IF(OR(1=1,F4="",N(F3)=0),"",F4/F3-1)</f>
        <v/>
      </c>
      <c r="R4" s="22">
        <f>IF(OR(1=1,G4="",N(G3)=0),"",G4/G3-1)</f>
        <v/>
      </c>
      <c r="S4" s="24">
        <f>IF(C4="","",IF(1=1,"Week 1: your baseline",IF(AND(ISNUMBER(O4),ISNUMBER(P4),ISNUMBER(Q4),N(O4)&lt;0,N(P4)&lt;0,N(Q4)&lt;0),"Everything down: check posts and messages sent first",IF(COUNT(Y4:AA4)=0,"",IF(MIN(Y4:AA4)&gt;=0,"No rate dropped. Do more of what worked.",CHOOSE(MATCH(MIN(Y4:AA4),Y4:AA4,0),"Reach to visits: fix bio, pinned posts, first line","Visits to leads: make the offer and next step clearer","Leads to sales: reread your DMs and price framing"))))))</f>
        <v/>
      </c>
      <c r="T4" s="16" t="n"/>
      <c r="U4" s="16" t="n"/>
      <c r="V4" s="16" t="n"/>
      <c r="W4" s="16" t="n"/>
      <c r="X4" s="16" t="n"/>
      <c r="Y4" s="25">
        <f>IF(OR(1=1,NOT(ISNUMBER(K4)),NOT(ISNUMBER(K3))),"",IF(K3=0,"",K4/K3-1))</f>
        <v/>
      </c>
      <c r="Z4" s="25">
        <f>IF(OR(1=1,NOT(ISNUMBER(L4)),NOT(ISNUMBER(L3))),"",IF(L3=0,"",L4/L3-1))</f>
        <v/>
      </c>
      <c r="AA4" s="25">
        <f>IF(OR(1=1,NOT(ISNUMBER(M4)),NOT(ISNUMBER(M3))),"",IF(M3=0,"",M4/M3-1))</f>
        <v/>
      </c>
    </row>
    <row r="5" ht="30" customHeight="1">
      <c r="A5" s="16" t="n">
        <v>2</v>
      </c>
      <c r="B5" s="17">
        <f>IF(B4="","",B4+7)</f>
        <v/>
      </c>
      <c r="C5" s="18" t="n"/>
      <c r="D5" s="18" t="n"/>
      <c r="E5" s="18" t="n"/>
      <c r="F5" s="18" t="n"/>
      <c r="G5" s="19" t="n"/>
      <c r="H5" s="18" t="n"/>
      <c r="I5" s="18" t="n"/>
      <c r="J5" s="20" t="n"/>
      <c r="K5" s="21">
        <f>IF(OR(D5="",N(C5)=0),"",D5/C5)</f>
        <v/>
      </c>
      <c r="L5" s="21">
        <f>IF(OR(E5="",N(D5)=0),"",E5/D5)</f>
        <v/>
      </c>
      <c r="M5" s="22">
        <f>IF(OR(F5="",N(E5)=0),"",F5/E5)</f>
        <v/>
      </c>
      <c r="N5" s="23">
        <f>IF(OR(G5="",N(F5)=0),"",G5/F5)</f>
        <v/>
      </c>
      <c r="O5" s="22">
        <f>IF(OR(2=1,C5="",N(C4)=0),"",C5/C4-1)</f>
        <v/>
      </c>
      <c r="P5" s="22">
        <f>IF(OR(2=1,E5="",N(E4)=0),"",E5/E4-1)</f>
        <v/>
      </c>
      <c r="Q5" s="22">
        <f>IF(OR(2=1,F5="",N(F4)=0),"",F5/F4-1)</f>
        <v/>
      </c>
      <c r="R5" s="22">
        <f>IF(OR(2=1,G5="",N(G4)=0),"",G5/G4-1)</f>
        <v/>
      </c>
      <c r="S5" s="24">
        <f>IF(C5="","",IF(2=1,"Week 1: your baseline",IF(AND(ISNUMBER(O5),ISNUMBER(P5),ISNUMBER(Q5),N(O5)&lt;0,N(P5)&lt;0,N(Q5)&lt;0),"Everything down: check posts and messages sent first",IF(COUNT(Y5:AA5)=0,"",IF(MIN(Y5:AA5)&gt;=0,"No rate dropped. Do more of what worked.",CHOOSE(MATCH(MIN(Y5:AA5),Y5:AA5,0),"Reach to visits: fix bio, pinned posts, first line","Visits to leads: make the offer and next step clearer","Leads to sales: reread your DMs and price framing"))))))</f>
        <v/>
      </c>
      <c r="T5" s="16" t="n"/>
      <c r="U5" s="16" t="n"/>
      <c r="V5" s="16" t="n"/>
      <c r="W5" s="16" t="n"/>
      <c r="X5" s="16" t="n"/>
      <c r="Y5" s="25">
        <f>IF(OR(2=1,NOT(ISNUMBER(K5)),NOT(ISNUMBER(K4))),"",IF(K4=0,"",K5/K4-1))</f>
        <v/>
      </c>
      <c r="Z5" s="25">
        <f>IF(OR(2=1,NOT(ISNUMBER(L5)),NOT(ISNUMBER(L4))),"",IF(L4=0,"",L5/L4-1))</f>
        <v/>
      </c>
      <c r="AA5" s="25">
        <f>IF(OR(2=1,NOT(ISNUMBER(M5)),NOT(ISNUMBER(M4))),"",IF(M4=0,"",M5/M4-1))</f>
        <v/>
      </c>
    </row>
    <row r="6" ht="30" customHeight="1">
      <c r="A6" s="16" t="n">
        <v>3</v>
      </c>
      <c r="B6" s="17">
        <f>IF(B5="","",B5+7)</f>
        <v/>
      </c>
      <c r="C6" s="18" t="n"/>
      <c r="D6" s="18" t="n"/>
      <c r="E6" s="18" t="n"/>
      <c r="F6" s="18" t="n"/>
      <c r="G6" s="19" t="n"/>
      <c r="H6" s="18" t="n"/>
      <c r="I6" s="18" t="n"/>
      <c r="J6" s="20" t="n"/>
      <c r="K6" s="21">
        <f>IF(OR(D6="",N(C6)=0),"",D6/C6)</f>
        <v/>
      </c>
      <c r="L6" s="21">
        <f>IF(OR(E6="",N(D6)=0),"",E6/D6)</f>
        <v/>
      </c>
      <c r="M6" s="22">
        <f>IF(OR(F6="",N(E6)=0),"",F6/E6)</f>
        <v/>
      </c>
      <c r="N6" s="23">
        <f>IF(OR(G6="",N(F6)=0),"",G6/F6)</f>
        <v/>
      </c>
      <c r="O6" s="22">
        <f>IF(OR(3=1,C6="",N(C5)=0),"",C6/C5-1)</f>
        <v/>
      </c>
      <c r="P6" s="22">
        <f>IF(OR(3=1,E6="",N(E5)=0),"",E6/E5-1)</f>
        <v/>
      </c>
      <c r="Q6" s="22">
        <f>IF(OR(3=1,F6="",N(F5)=0),"",F6/F5-1)</f>
        <v/>
      </c>
      <c r="R6" s="22">
        <f>IF(OR(3=1,G6="",N(G5)=0),"",G6/G5-1)</f>
        <v/>
      </c>
      <c r="S6" s="24">
        <f>IF(C6="","",IF(3=1,"Week 1: your baseline",IF(AND(ISNUMBER(O6),ISNUMBER(P6),ISNUMBER(Q6),N(O6)&lt;0,N(P6)&lt;0,N(Q6)&lt;0),"Everything down: check posts and messages sent first",IF(COUNT(Y6:AA6)=0,"",IF(MIN(Y6:AA6)&gt;=0,"No rate dropped. Do more of what worked.",CHOOSE(MATCH(MIN(Y6:AA6),Y6:AA6,0),"Reach to visits: fix bio, pinned posts, first line","Visits to leads: make the offer and next step clearer","Leads to sales: reread your DMs and price framing"))))))</f>
        <v/>
      </c>
      <c r="T6" s="16" t="n"/>
      <c r="U6" s="16" t="n"/>
      <c r="V6" s="16" t="n"/>
      <c r="W6" s="16" t="n"/>
      <c r="X6" s="16" t="n"/>
      <c r="Y6" s="25">
        <f>IF(OR(3=1,NOT(ISNUMBER(K6)),NOT(ISNUMBER(K5))),"",IF(K5=0,"",K6/K5-1))</f>
        <v/>
      </c>
      <c r="Z6" s="25">
        <f>IF(OR(3=1,NOT(ISNUMBER(L6)),NOT(ISNUMBER(L5))),"",IF(L5=0,"",L6/L5-1))</f>
        <v/>
      </c>
      <c r="AA6" s="25">
        <f>IF(OR(3=1,NOT(ISNUMBER(M6)),NOT(ISNUMBER(M5))),"",IF(M5=0,"",M6/M5-1))</f>
        <v/>
      </c>
    </row>
    <row r="7" ht="30" customHeight="1">
      <c r="A7" s="16" t="n">
        <v>4</v>
      </c>
      <c r="B7" s="17">
        <f>IF(B6="","",B6+7)</f>
        <v/>
      </c>
      <c r="C7" s="18" t="n"/>
      <c r="D7" s="18" t="n"/>
      <c r="E7" s="18" t="n"/>
      <c r="F7" s="18" t="n"/>
      <c r="G7" s="19" t="n"/>
      <c r="H7" s="18" t="n"/>
      <c r="I7" s="18" t="n"/>
      <c r="J7" s="20" t="n"/>
      <c r="K7" s="21">
        <f>IF(OR(D7="",N(C7)=0),"",D7/C7)</f>
        <v/>
      </c>
      <c r="L7" s="21">
        <f>IF(OR(E7="",N(D7)=0),"",E7/D7)</f>
        <v/>
      </c>
      <c r="M7" s="22">
        <f>IF(OR(F7="",N(E7)=0),"",F7/E7)</f>
        <v/>
      </c>
      <c r="N7" s="23">
        <f>IF(OR(G7="",N(F7)=0),"",G7/F7)</f>
        <v/>
      </c>
      <c r="O7" s="22">
        <f>IF(OR(4=1,C7="",N(C6)=0),"",C7/C6-1)</f>
        <v/>
      </c>
      <c r="P7" s="22">
        <f>IF(OR(4=1,E7="",N(E6)=0),"",E7/E6-1)</f>
        <v/>
      </c>
      <c r="Q7" s="22">
        <f>IF(OR(4=1,F7="",N(F6)=0),"",F7/F6-1)</f>
        <v/>
      </c>
      <c r="R7" s="22">
        <f>IF(OR(4=1,G7="",N(G6)=0),"",G7/G6-1)</f>
        <v/>
      </c>
      <c r="S7" s="24">
        <f>IF(C7="","",IF(4=1,"Week 1: your baseline",IF(AND(ISNUMBER(O7),ISNUMBER(P7),ISNUMBER(Q7),N(O7)&lt;0,N(P7)&lt;0,N(Q7)&lt;0),"Everything down: check posts and messages sent first",IF(COUNT(Y7:AA7)=0,"",IF(MIN(Y7:AA7)&gt;=0,"No rate dropped. Do more of what worked.",CHOOSE(MATCH(MIN(Y7:AA7),Y7:AA7,0),"Reach to visits: fix bio, pinned posts, first line","Visits to leads: make the offer and next step clearer","Leads to sales: reread your DMs and price framing"))))))</f>
        <v/>
      </c>
      <c r="T7" s="16" t="n"/>
      <c r="U7" s="16" t="n"/>
      <c r="V7" s="16" t="n"/>
      <c r="W7" s="16" t="n"/>
      <c r="X7" s="16" t="n"/>
      <c r="Y7" s="25">
        <f>IF(OR(4=1,NOT(ISNUMBER(K7)),NOT(ISNUMBER(K6))),"",IF(K6=0,"",K7/K6-1))</f>
        <v/>
      </c>
      <c r="Z7" s="25">
        <f>IF(OR(4=1,NOT(ISNUMBER(L7)),NOT(ISNUMBER(L6))),"",IF(L6=0,"",L7/L6-1))</f>
        <v/>
      </c>
      <c r="AA7" s="25">
        <f>IF(OR(4=1,NOT(ISNUMBER(M7)),NOT(ISNUMBER(M6))),"",IF(M6=0,"",M7/M6-1))</f>
        <v/>
      </c>
    </row>
    <row r="8" ht="30" customHeight="1">
      <c r="A8" s="16" t="n">
        <v>5</v>
      </c>
      <c r="B8" s="17">
        <f>IF(B7="","",B7+7)</f>
        <v/>
      </c>
      <c r="C8" s="18" t="n"/>
      <c r="D8" s="18" t="n"/>
      <c r="E8" s="18" t="n"/>
      <c r="F8" s="18" t="n"/>
      <c r="G8" s="19" t="n"/>
      <c r="H8" s="18" t="n"/>
      <c r="I8" s="18" t="n"/>
      <c r="J8" s="20" t="n"/>
      <c r="K8" s="21">
        <f>IF(OR(D8="",N(C8)=0),"",D8/C8)</f>
        <v/>
      </c>
      <c r="L8" s="21">
        <f>IF(OR(E8="",N(D8)=0),"",E8/D8)</f>
        <v/>
      </c>
      <c r="M8" s="22">
        <f>IF(OR(F8="",N(E8)=0),"",F8/E8)</f>
        <v/>
      </c>
      <c r="N8" s="23">
        <f>IF(OR(G8="",N(F8)=0),"",G8/F8)</f>
        <v/>
      </c>
      <c r="O8" s="22">
        <f>IF(OR(5=1,C8="",N(C7)=0),"",C8/C7-1)</f>
        <v/>
      </c>
      <c r="P8" s="22">
        <f>IF(OR(5=1,E8="",N(E7)=0),"",E8/E7-1)</f>
        <v/>
      </c>
      <c r="Q8" s="22">
        <f>IF(OR(5=1,F8="",N(F7)=0),"",F8/F7-1)</f>
        <v/>
      </c>
      <c r="R8" s="22">
        <f>IF(OR(5=1,G8="",N(G7)=0),"",G8/G7-1)</f>
        <v/>
      </c>
      <c r="S8" s="24">
        <f>IF(C8="","",IF(5=1,"Week 1: your baseline",IF(AND(ISNUMBER(O8),ISNUMBER(P8),ISNUMBER(Q8),N(O8)&lt;0,N(P8)&lt;0,N(Q8)&lt;0),"Everything down: check posts and messages sent first",IF(COUNT(Y8:AA8)=0,"",IF(MIN(Y8:AA8)&gt;=0,"No rate dropped. Do more of what worked.",CHOOSE(MATCH(MIN(Y8:AA8),Y8:AA8,0),"Reach to visits: fix bio, pinned posts, first line","Visits to leads: make the offer and next step clearer","Leads to sales: reread your DMs and price framing"))))))</f>
        <v/>
      </c>
      <c r="T8" s="16" t="n"/>
      <c r="U8" s="16" t="n"/>
      <c r="V8" s="16" t="n"/>
      <c r="W8" s="16" t="n"/>
      <c r="X8" s="16" t="n"/>
      <c r="Y8" s="25">
        <f>IF(OR(5=1,NOT(ISNUMBER(K8)),NOT(ISNUMBER(K7))),"",IF(K7=0,"",K8/K7-1))</f>
        <v/>
      </c>
      <c r="Z8" s="25">
        <f>IF(OR(5=1,NOT(ISNUMBER(L8)),NOT(ISNUMBER(L7))),"",IF(L7=0,"",L8/L7-1))</f>
        <v/>
      </c>
      <c r="AA8" s="25">
        <f>IF(OR(5=1,NOT(ISNUMBER(M8)),NOT(ISNUMBER(M7))),"",IF(M7=0,"",M8/M7-1))</f>
        <v/>
      </c>
    </row>
    <row r="9" ht="30" customHeight="1">
      <c r="A9" s="16" t="n">
        <v>6</v>
      </c>
      <c r="B9" s="17">
        <f>IF(B8="","",B8+7)</f>
        <v/>
      </c>
      <c r="C9" s="18" t="n"/>
      <c r="D9" s="18" t="n"/>
      <c r="E9" s="18" t="n"/>
      <c r="F9" s="18" t="n"/>
      <c r="G9" s="19" t="n"/>
      <c r="H9" s="18" t="n"/>
      <c r="I9" s="18" t="n"/>
      <c r="J9" s="20" t="n"/>
      <c r="K9" s="21">
        <f>IF(OR(D9="",N(C9)=0),"",D9/C9)</f>
        <v/>
      </c>
      <c r="L9" s="21">
        <f>IF(OR(E9="",N(D9)=0),"",E9/D9)</f>
        <v/>
      </c>
      <c r="M9" s="22">
        <f>IF(OR(F9="",N(E9)=0),"",F9/E9)</f>
        <v/>
      </c>
      <c r="N9" s="23">
        <f>IF(OR(G9="",N(F9)=0),"",G9/F9)</f>
        <v/>
      </c>
      <c r="O9" s="22">
        <f>IF(OR(6=1,C9="",N(C8)=0),"",C9/C8-1)</f>
        <v/>
      </c>
      <c r="P9" s="22">
        <f>IF(OR(6=1,E9="",N(E8)=0),"",E9/E8-1)</f>
        <v/>
      </c>
      <c r="Q9" s="22">
        <f>IF(OR(6=1,F9="",N(F8)=0),"",F9/F8-1)</f>
        <v/>
      </c>
      <c r="R9" s="22">
        <f>IF(OR(6=1,G9="",N(G8)=0),"",G9/G8-1)</f>
        <v/>
      </c>
      <c r="S9" s="24">
        <f>IF(C9="","",IF(6=1,"Week 1: your baseline",IF(AND(ISNUMBER(O9),ISNUMBER(P9),ISNUMBER(Q9),N(O9)&lt;0,N(P9)&lt;0,N(Q9)&lt;0),"Everything down: check posts and messages sent first",IF(COUNT(Y9:AA9)=0,"",IF(MIN(Y9:AA9)&gt;=0,"No rate dropped. Do more of what worked.",CHOOSE(MATCH(MIN(Y9:AA9),Y9:AA9,0),"Reach to visits: fix bio, pinned posts, first line","Visits to leads: make the offer and next step clearer","Leads to sales: reread your DMs and price framing"))))))</f>
        <v/>
      </c>
      <c r="T9" s="16" t="n"/>
      <c r="U9" s="16" t="n"/>
      <c r="V9" s="16" t="n"/>
      <c r="W9" s="16" t="n"/>
      <c r="X9" s="16" t="n"/>
      <c r="Y9" s="25">
        <f>IF(OR(6=1,NOT(ISNUMBER(K9)),NOT(ISNUMBER(K8))),"",IF(K8=0,"",K9/K8-1))</f>
        <v/>
      </c>
      <c r="Z9" s="25">
        <f>IF(OR(6=1,NOT(ISNUMBER(L9)),NOT(ISNUMBER(L8))),"",IF(L8=0,"",L9/L8-1))</f>
        <v/>
      </c>
      <c r="AA9" s="25">
        <f>IF(OR(6=1,NOT(ISNUMBER(M9)),NOT(ISNUMBER(M8))),"",IF(M8=0,"",M9/M8-1))</f>
        <v/>
      </c>
    </row>
    <row r="10" ht="30" customHeight="1">
      <c r="A10" s="16" t="n">
        <v>7</v>
      </c>
      <c r="B10" s="17">
        <f>IF(B9="","",B9+7)</f>
        <v/>
      </c>
      <c r="C10" s="18" t="n"/>
      <c r="D10" s="18" t="n"/>
      <c r="E10" s="18" t="n"/>
      <c r="F10" s="18" t="n"/>
      <c r="G10" s="19" t="n"/>
      <c r="H10" s="18" t="n"/>
      <c r="I10" s="18" t="n"/>
      <c r="J10" s="20" t="n"/>
      <c r="K10" s="21">
        <f>IF(OR(D10="",N(C10)=0),"",D10/C10)</f>
        <v/>
      </c>
      <c r="L10" s="21">
        <f>IF(OR(E10="",N(D10)=0),"",E10/D10)</f>
        <v/>
      </c>
      <c r="M10" s="22">
        <f>IF(OR(F10="",N(E10)=0),"",F10/E10)</f>
        <v/>
      </c>
      <c r="N10" s="23">
        <f>IF(OR(G10="",N(F10)=0),"",G10/F10)</f>
        <v/>
      </c>
      <c r="O10" s="22">
        <f>IF(OR(7=1,C10="",N(C9)=0),"",C10/C9-1)</f>
        <v/>
      </c>
      <c r="P10" s="22">
        <f>IF(OR(7=1,E10="",N(E9)=0),"",E10/E9-1)</f>
        <v/>
      </c>
      <c r="Q10" s="22">
        <f>IF(OR(7=1,F10="",N(F9)=0),"",F10/F9-1)</f>
        <v/>
      </c>
      <c r="R10" s="22">
        <f>IF(OR(7=1,G10="",N(G9)=0),"",G10/G9-1)</f>
        <v/>
      </c>
      <c r="S10" s="24">
        <f>IF(C10="","",IF(7=1,"Week 1: your baseline",IF(AND(ISNUMBER(O10),ISNUMBER(P10),ISNUMBER(Q10),N(O10)&lt;0,N(P10)&lt;0,N(Q10)&lt;0),"Everything down: check posts and messages sent first",IF(COUNT(Y10:AA10)=0,"",IF(MIN(Y10:AA10)&gt;=0,"No rate dropped. Do more of what worked.",CHOOSE(MATCH(MIN(Y10:AA10),Y10:AA10,0),"Reach to visits: fix bio, pinned posts, first line","Visits to leads: make the offer and next step clearer","Leads to sales: reread your DMs and price framing"))))))</f>
        <v/>
      </c>
      <c r="T10" s="16" t="n"/>
      <c r="U10" s="16" t="n"/>
      <c r="V10" s="16" t="n"/>
      <c r="W10" s="16" t="n"/>
      <c r="X10" s="16" t="n"/>
      <c r="Y10" s="25">
        <f>IF(OR(7=1,NOT(ISNUMBER(K10)),NOT(ISNUMBER(K9))),"",IF(K9=0,"",K10/K9-1))</f>
        <v/>
      </c>
      <c r="Z10" s="25">
        <f>IF(OR(7=1,NOT(ISNUMBER(L10)),NOT(ISNUMBER(L9))),"",IF(L9=0,"",L10/L9-1))</f>
        <v/>
      </c>
      <c r="AA10" s="25">
        <f>IF(OR(7=1,NOT(ISNUMBER(M10)),NOT(ISNUMBER(M9))),"",IF(M9=0,"",M10/M9-1))</f>
        <v/>
      </c>
    </row>
    <row r="11" ht="30" customHeight="1">
      <c r="A11" s="16" t="n">
        <v>8</v>
      </c>
      <c r="B11" s="17">
        <f>IF(B10="","",B10+7)</f>
        <v/>
      </c>
      <c r="C11" s="18" t="n"/>
      <c r="D11" s="18" t="n"/>
      <c r="E11" s="18" t="n"/>
      <c r="F11" s="18" t="n"/>
      <c r="G11" s="19" t="n"/>
      <c r="H11" s="18" t="n"/>
      <c r="I11" s="18" t="n"/>
      <c r="J11" s="20" t="n"/>
      <c r="K11" s="21">
        <f>IF(OR(D11="",N(C11)=0),"",D11/C11)</f>
        <v/>
      </c>
      <c r="L11" s="21">
        <f>IF(OR(E11="",N(D11)=0),"",E11/D11)</f>
        <v/>
      </c>
      <c r="M11" s="22">
        <f>IF(OR(F11="",N(E11)=0),"",F11/E11)</f>
        <v/>
      </c>
      <c r="N11" s="23">
        <f>IF(OR(G11="",N(F11)=0),"",G11/F11)</f>
        <v/>
      </c>
      <c r="O11" s="22">
        <f>IF(OR(8=1,C11="",N(C10)=0),"",C11/C10-1)</f>
        <v/>
      </c>
      <c r="P11" s="22">
        <f>IF(OR(8=1,E11="",N(E10)=0),"",E11/E10-1)</f>
        <v/>
      </c>
      <c r="Q11" s="22">
        <f>IF(OR(8=1,F11="",N(F10)=0),"",F11/F10-1)</f>
        <v/>
      </c>
      <c r="R11" s="22">
        <f>IF(OR(8=1,G11="",N(G10)=0),"",G11/G10-1)</f>
        <v/>
      </c>
      <c r="S11" s="24">
        <f>IF(C11="","",IF(8=1,"Week 1: your baseline",IF(AND(ISNUMBER(O11),ISNUMBER(P11),ISNUMBER(Q11),N(O11)&lt;0,N(P11)&lt;0,N(Q11)&lt;0),"Everything down: check posts and messages sent first",IF(COUNT(Y11:AA11)=0,"",IF(MIN(Y11:AA11)&gt;=0,"No rate dropped. Do more of what worked.",CHOOSE(MATCH(MIN(Y11:AA11),Y11:AA11,0),"Reach to visits: fix bio, pinned posts, first line","Visits to leads: make the offer and next step clearer","Leads to sales: reread your DMs and price framing"))))))</f>
        <v/>
      </c>
      <c r="T11" s="16" t="n"/>
      <c r="U11" s="16" t="n"/>
      <c r="V11" s="16" t="n"/>
      <c r="W11" s="16" t="n"/>
      <c r="X11" s="16" t="n"/>
      <c r="Y11" s="25">
        <f>IF(OR(8=1,NOT(ISNUMBER(K11)),NOT(ISNUMBER(K10))),"",IF(K10=0,"",K11/K10-1))</f>
        <v/>
      </c>
      <c r="Z11" s="25">
        <f>IF(OR(8=1,NOT(ISNUMBER(L11)),NOT(ISNUMBER(L10))),"",IF(L10=0,"",L11/L10-1))</f>
        <v/>
      </c>
      <c r="AA11" s="25">
        <f>IF(OR(8=1,NOT(ISNUMBER(M11)),NOT(ISNUMBER(M10))),"",IF(M10=0,"",M11/M10-1))</f>
        <v/>
      </c>
    </row>
    <row r="12" ht="30" customHeight="1">
      <c r="A12" s="16" t="n">
        <v>9</v>
      </c>
      <c r="B12" s="17">
        <f>IF(B11="","",B11+7)</f>
        <v/>
      </c>
      <c r="C12" s="18" t="n"/>
      <c r="D12" s="18" t="n"/>
      <c r="E12" s="18" t="n"/>
      <c r="F12" s="18" t="n"/>
      <c r="G12" s="19" t="n"/>
      <c r="H12" s="18" t="n"/>
      <c r="I12" s="18" t="n"/>
      <c r="J12" s="20" t="n"/>
      <c r="K12" s="21">
        <f>IF(OR(D12="",N(C12)=0),"",D12/C12)</f>
        <v/>
      </c>
      <c r="L12" s="21">
        <f>IF(OR(E12="",N(D12)=0),"",E12/D12)</f>
        <v/>
      </c>
      <c r="M12" s="22">
        <f>IF(OR(F12="",N(E12)=0),"",F12/E12)</f>
        <v/>
      </c>
      <c r="N12" s="23">
        <f>IF(OR(G12="",N(F12)=0),"",G12/F12)</f>
        <v/>
      </c>
      <c r="O12" s="22">
        <f>IF(OR(9=1,C12="",N(C11)=0),"",C12/C11-1)</f>
        <v/>
      </c>
      <c r="P12" s="22">
        <f>IF(OR(9=1,E12="",N(E11)=0),"",E12/E11-1)</f>
        <v/>
      </c>
      <c r="Q12" s="22">
        <f>IF(OR(9=1,F12="",N(F11)=0),"",F12/F11-1)</f>
        <v/>
      </c>
      <c r="R12" s="22">
        <f>IF(OR(9=1,G12="",N(G11)=0),"",G12/G11-1)</f>
        <v/>
      </c>
      <c r="S12" s="24">
        <f>IF(C12="","",IF(9=1,"Week 1: your baseline",IF(AND(ISNUMBER(O12),ISNUMBER(P12),ISNUMBER(Q12),N(O12)&lt;0,N(P12)&lt;0,N(Q12)&lt;0),"Everything down: check posts and messages sent first",IF(COUNT(Y12:AA12)=0,"",IF(MIN(Y12:AA12)&gt;=0,"No rate dropped. Do more of what worked.",CHOOSE(MATCH(MIN(Y12:AA12),Y12:AA12,0),"Reach to visits: fix bio, pinned posts, first line","Visits to leads: make the offer and next step clearer","Leads to sales: reread your DMs and price framing"))))))</f>
        <v/>
      </c>
      <c r="T12" s="16" t="n"/>
      <c r="U12" s="16" t="n"/>
      <c r="V12" s="16" t="n"/>
      <c r="W12" s="16" t="n"/>
      <c r="X12" s="16" t="n"/>
      <c r="Y12" s="25">
        <f>IF(OR(9=1,NOT(ISNUMBER(K12)),NOT(ISNUMBER(K11))),"",IF(K11=0,"",K12/K11-1))</f>
        <v/>
      </c>
      <c r="Z12" s="25">
        <f>IF(OR(9=1,NOT(ISNUMBER(L12)),NOT(ISNUMBER(L11))),"",IF(L11=0,"",L12/L11-1))</f>
        <v/>
      </c>
      <c r="AA12" s="25">
        <f>IF(OR(9=1,NOT(ISNUMBER(M12)),NOT(ISNUMBER(M11))),"",IF(M11=0,"",M12/M11-1))</f>
        <v/>
      </c>
    </row>
    <row r="13" ht="30" customHeight="1">
      <c r="A13" s="16" t="n">
        <v>10</v>
      </c>
      <c r="B13" s="17">
        <f>IF(B12="","",B12+7)</f>
        <v/>
      </c>
      <c r="C13" s="18" t="n"/>
      <c r="D13" s="18" t="n"/>
      <c r="E13" s="18" t="n"/>
      <c r="F13" s="18" t="n"/>
      <c r="G13" s="19" t="n"/>
      <c r="H13" s="18" t="n"/>
      <c r="I13" s="18" t="n"/>
      <c r="J13" s="20" t="n"/>
      <c r="K13" s="21">
        <f>IF(OR(D13="",N(C13)=0),"",D13/C13)</f>
        <v/>
      </c>
      <c r="L13" s="21">
        <f>IF(OR(E13="",N(D13)=0),"",E13/D13)</f>
        <v/>
      </c>
      <c r="M13" s="22">
        <f>IF(OR(F13="",N(E13)=0),"",F13/E13)</f>
        <v/>
      </c>
      <c r="N13" s="23">
        <f>IF(OR(G13="",N(F13)=0),"",G13/F13)</f>
        <v/>
      </c>
      <c r="O13" s="22">
        <f>IF(OR(10=1,C13="",N(C12)=0),"",C13/C12-1)</f>
        <v/>
      </c>
      <c r="P13" s="22">
        <f>IF(OR(10=1,E13="",N(E12)=0),"",E13/E12-1)</f>
        <v/>
      </c>
      <c r="Q13" s="22">
        <f>IF(OR(10=1,F13="",N(F12)=0),"",F13/F12-1)</f>
        <v/>
      </c>
      <c r="R13" s="22">
        <f>IF(OR(10=1,G13="",N(G12)=0),"",G13/G12-1)</f>
        <v/>
      </c>
      <c r="S13" s="24">
        <f>IF(C13="","",IF(10=1,"Week 1: your baseline",IF(AND(ISNUMBER(O13),ISNUMBER(P13),ISNUMBER(Q13),N(O13)&lt;0,N(P13)&lt;0,N(Q13)&lt;0),"Everything down: check posts and messages sent first",IF(COUNT(Y13:AA13)=0,"",IF(MIN(Y13:AA13)&gt;=0,"No rate dropped. Do more of what worked.",CHOOSE(MATCH(MIN(Y13:AA13),Y13:AA13,0),"Reach to visits: fix bio, pinned posts, first line","Visits to leads: make the offer and next step clearer","Leads to sales: reread your DMs and price framing"))))))</f>
        <v/>
      </c>
      <c r="T13" s="16" t="n"/>
      <c r="U13" s="16" t="n"/>
      <c r="V13" s="16" t="n"/>
      <c r="W13" s="16" t="n"/>
      <c r="X13" s="16" t="n"/>
      <c r="Y13" s="25">
        <f>IF(OR(10=1,NOT(ISNUMBER(K13)),NOT(ISNUMBER(K12))),"",IF(K12=0,"",K13/K12-1))</f>
        <v/>
      </c>
      <c r="Z13" s="25">
        <f>IF(OR(10=1,NOT(ISNUMBER(L13)),NOT(ISNUMBER(L12))),"",IF(L12=0,"",L13/L12-1))</f>
        <v/>
      </c>
      <c r="AA13" s="25">
        <f>IF(OR(10=1,NOT(ISNUMBER(M13)),NOT(ISNUMBER(M12))),"",IF(M12=0,"",M13/M12-1))</f>
        <v/>
      </c>
    </row>
    <row r="14" ht="30" customHeight="1">
      <c r="A14" s="16" t="n">
        <v>11</v>
      </c>
      <c r="B14" s="17">
        <f>IF(B13="","",B13+7)</f>
        <v/>
      </c>
      <c r="C14" s="18" t="n"/>
      <c r="D14" s="18" t="n"/>
      <c r="E14" s="18" t="n"/>
      <c r="F14" s="18" t="n"/>
      <c r="G14" s="19" t="n"/>
      <c r="H14" s="18" t="n"/>
      <c r="I14" s="18" t="n"/>
      <c r="J14" s="20" t="n"/>
      <c r="K14" s="21">
        <f>IF(OR(D14="",N(C14)=0),"",D14/C14)</f>
        <v/>
      </c>
      <c r="L14" s="21">
        <f>IF(OR(E14="",N(D14)=0),"",E14/D14)</f>
        <v/>
      </c>
      <c r="M14" s="22">
        <f>IF(OR(F14="",N(E14)=0),"",F14/E14)</f>
        <v/>
      </c>
      <c r="N14" s="23">
        <f>IF(OR(G14="",N(F14)=0),"",G14/F14)</f>
        <v/>
      </c>
      <c r="O14" s="22">
        <f>IF(OR(11=1,C14="",N(C13)=0),"",C14/C13-1)</f>
        <v/>
      </c>
      <c r="P14" s="22">
        <f>IF(OR(11=1,E14="",N(E13)=0),"",E14/E13-1)</f>
        <v/>
      </c>
      <c r="Q14" s="22">
        <f>IF(OR(11=1,F14="",N(F13)=0),"",F14/F13-1)</f>
        <v/>
      </c>
      <c r="R14" s="22">
        <f>IF(OR(11=1,G14="",N(G13)=0),"",G14/G13-1)</f>
        <v/>
      </c>
      <c r="S14" s="24">
        <f>IF(C14="","",IF(11=1,"Week 1: your baseline",IF(AND(ISNUMBER(O14),ISNUMBER(P14),ISNUMBER(Q14),N(O14)&lt;0,N(P14)&lt;0,N(Q14)&lt;0),"Everything down: check posts and messages sent first",IF(COUNT(Y14:AA14)=0,"",IF(MIN(Y14:AA14)&gt;=0,"No rate dropped. Do more of what worked.",CHOOSE(MATCH(MIN(Y14:AA14),Y14:AA14,0),"Reach to visits: fix bio, pinned posts, first line","Visits to leads: make the offer and next step clearer","Leads to sales: reread your DMs and price framing"))))))</f>
        <v/>
      </c>
      <c r="T14" s="16" t="n"/>
      <c r="U14" s="16" t="n"/>
      <c r="V14" s="16" t="n"/>
      <c r="W14" s="16" t="n"/>
      <c r="X14" s="16" t="n"/>
      <c r="Y14" s="25">
        <f>IF(OR(11=1,NOT(ISNUMBER(K14)),NOT(ISNUMBER(K13))),"",IF(K13=0,"",K14/K13-1))</f>
        <v/>
      </c>
      <c r="Z14" s="25">
        <f>IF(OR(11=1,NOT(ISNUMBER(L14)),NOT(ISNUMBER(L13))),"",IF(L13=0,"",L14/L13-1))</f>
        <v/>
      </c>
      <c r="AA14" s="25">
        <f>IF(OR(11=1,NOT(ISNUMBER(M14)),NOT(ISNUMBER(M13))),"",IF(M13=0,"",M14/M13-1))</f>
        <v/>
      </c>
    </row>
    <row r="15" ht="30" customHeight="1">
      <c r="A15" s="16" t="n">
        <v>12</v>
      </c>
      <c r="B15" s="17">
        <f>IF(B14="","",B14+7)</f>
        <v/>
      </c>
      <c r="C15" s="18" t="n"/>
      <c r="D15" s="18" t="n"/>
      <c r="E15" s="18" t="n"/>
      <c r="F15" s="18" t="n"/>
      <c r="G15" s="19" t="n"/>
      <c r="H15" s="18" t="n"/>
      <c r="I15" s="18" t="n"/>
      <c r="J15" s="20" t="n"/>
      <c r="K15" s="21">
        <f>IF(OR(D15="",N(C15)=0),"",D15/C15)</f>
        <v/>
      </c>
      <c r="L15" s="21">
        <f>IF(OR(E15="",N(D15)=0),"",E15/D15)</f>
        <v/>
      </c>
      <c r="M15" s="22">
        <f>IF(OR(F15="",N(E15)=0),"",F15/E15)</f>
        <v/>
      </c>
      <c r="N15" s="23">
        <f>IF(OR(G15="",N(F15)=0),"",G15/F15)</f>
        <v/>
      </c>
      <c r="O15" s="22">
        <f>IF(OR(12=1,C15="",N(C14)=0),"",C15/C14-1)</f>
        <v/>
      </c>
      <c r="P15" s="22">
        <f>IF(OR(12=1,E15="",N(E14)=0),"",E15/E14-1)</f>
        <v/>
      </c>
      <c r="Q15" s="22">
        <f>IF(OR(12=1,F15="",N(F14)=0),"",F15/F14-1)</f>
        <v/>
      </c>
      <c r="R15" s="22">
        <f>IF(OR(12=1,G15="",N(G14)=0),"",G15/G14-1)</f>
        <v/>
      </c>
      <c r="S15" s="24">
        <f>IF(C15="","",IF(12=1,"Week 1: your baseline",IF(AND(ISNUMBER(O15),ISNUMBER(P15),ISNUMBER(Q15),N(O15)&lt;0,N(P15)&lt;0,N(Q15)&lt;0),"Everything down: check posts and messages sent first",IF(COUNT(Y15:AA15)=0,"",IF(MIN(Y15:AA15)&gt;=0,"No rate dropped. Do more of what worked.",CHOOSE(MATCH(MIN(Y15:AA15),Y15:AA15,0),"Reach to visits: fix bio, pinned posts, first line","Visits to leads: make the offer and next step clearer","Leads to sales: reread your DMs and price framing"))))))</f>
        <v/>
      </c>
      <c r="T15" s="16" t="n"/>
      <c r="U15" s="16" t="n"/>
      <c r="V15" s="16" t="n"/>
      <c r="W15" s="16" t="n"/>
      <c r="X15" s="16" t="n"/>
      <c r="Y15" s="25">
        <f>IF(OR(12=1,NOT(ISNUMBER(K15)),NOT(ISNUMBER(K14))),"",IF(K14=0,"",K15/K14-1))</f>
        <v/>
      </c>
      <c r="Z15" s="25">
        <f>IF(OR(12=1,NOT(ISNUMBER(L15)),NOT(ISNUMBER(L14))),"",IF(L14=0,"",L15/L14-1))</f>
        <v/>
      </c>
      <c r="AA15" s="25">
        <f>IF(OR(12=1,NOT(ISNUMBER(M15)),NOT(ISNUMBER(M14))),"",IF(M14=0,"",M15/M14-1))</f>
        <v/>
      </c>
    </row>
    <row r="16" ht="30" customHeight="1">
      <c r="A16" s="16" t="n">
        <v>13</v>
      </c>
      <c r="B16" s="17">
        <f>IF(B15="","",B15+7)</f>
        <v/>
      </c>
      <c r="C16" s="18" t="n"/>
      <c r="D16" s="18" t="n"/>
      <c r="E16" s="18" t="n"/>
      <c r="F16" s="18" t="n"/>
      <c r="G16" s="19" t="n"/>
      <c r="H16" s="18" t="n"/>
      <c r="I16" s="18" t="n"/>
      <c r="J16" s="20" t="n"/>
      <c r="K16" s="21">
        <f>IF(OR(D16="",N(C16)=0),"",D16/C16)</f>
        <v/>
      </c>
      <c r="L16" s="21">
        <f>IF(OR(E16="",N(D16)=0),"",E16/D16)</f>
        <v/>
      </c>
      <c r="M16" s="22">
        <f>IF(OR(F16="",N(E16)=0),"",F16/E16)</f>
        <v/>
      </c>
      <c r="N16" s="23">
        <f>IF(OR(G16="",N(F16)=0),"",G16/F16)</f>
        <v/>
      </c>
      <c r="O16" s="22">
        <f>IF(OR(13=1,C16="",N(C15)=0),"",C16/C15-1)</f>
        <v/>
      </c>
      <c r="P16" s="22">
        <f>IF(OR(13=1,E16="",N(E15)=0),"",E16/E15-1)</f>
        <v/>
      </c>
      <c r="Q16" s="22">
        <f>IF(OR(13=1,F16="",N(F15)=0),"",F16/F15-1)</f>
        <v/>
      </c>
      <c r="R16" s="22">
        <f>IF(OR(13=1,G16="",N(G15)=0),"",G16/G15-1)</f>
        <v/>
      </c>
      <c r="S16" s="24">
        <f>IF(C16="","",IF(13=1,"Week 1: your baseline",IF(AND(ISNUMBER(O16),ISNUMBER(P16),ISNUMBER(Q16),N(O16)&lt;0,N(P16)&lt;0,N(Q16)&lt;0),"Everything down: check posts and messages sent first",IF(COUNT(Y16:AA16)=0,"",IF(MIN(Y16:AA16)&gt;=0,"No rate dropped. Do more of what worked.",CHOOSE(MATCH(MIN(Y16:AA16),Y16:AA16,0),"Reach to visits: fix bio, pinned posts, first line","Visits to leads: make the offer and next step clearer","Leads to sales: reread your DMs and price framing"))))))</f>
        <v/>
      </c>
      <c r="T16" s="16" t="n"/>
      <c r="U16" s="16" t="n"/>
      <c r="V16" s="16" t="n"/>
      <c r="W16" s="16" t="n"/>
      <c r="X16" s="16" t="n"/>
      <c r="Y16" s="25">
        <f>IF(OR(13=1,NOT(ISNUMBER(K16)),NOT(ISNUMBER(K15))),"",IF(K15=0,"",K16/K15-1))</f>
        <v/>
      </c>
      <c r="Z16" s="25">
        <f>IF(OR(13=1,NOT(ISNUMBER(L16)),NOT(ISNUMBER(L15))),"",IF(L15=0,"",L16/L15-1))</f>
        <v/>
      </c>
      <c r="AA16" s="25">
        <f>IF(OR(13=1,NOT(ISNUMBER(M16)),NOT(ISNUMBER(M15))),"",IF(M15=0,"",M16/M15-1))</f>
        <v/>
      </c>
    </row>
  </sheetData>
  <autoFilter ref="A3:AA16"/>
  <conditionalFormatting sqref="O4:O16 P4:P16 Q4:Q16 R4:R16">
    <cfRule type="expression" priority="1" dxfId="0" stopIfTrue="0">
      <formula>AND(ISNUMBER(O4),O4&lt;0)</formula>
    </cfRule>
    <cfRule type="expression" priority="2" dxfId="1" stopIfTrue="0">
      <formula>AND(ISNUMBER(O4),O4&gt;0)</formula>
    </cfRule>
  </conditionalFormatting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tabSelected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4" customWidth="1" min="4" max="4"/>
  </cols>
  <sheetData>
    <row r="1" ht="26" customHeight="1">
      <c r="A1" s="12" t="inlineStr">
        <is>
          <t>This week at a glance</t>
        </is>
      </c>
    </row>
    <row r="2">
      <c r="A2" s="13" t="inlineStr">
        <is>
          <t>Shows your latest week with numbers, and how far you have come since week 1.</t>
        </is>
      </c>
    </row>
    <row r="4">
      <c r="A4" s="1" t="inlineStr">
        <is>
          <t>LATEST WEEK</t>
        </is>
      </c>
      <c r="B4" s="1" t="inlineStr">
        <is>
          <t>Latest</t>
        </is>
      </c>
      <c r="C4" s="1" t="inlineStr">
        <is>
          <t>Week 1</t>
        </is>
      </c>
      <c r="D4" s="1" t="inlineStr">
        <is>
          <t>Change</t>
        </is>
      </c>
    </row>
    <row r="5">
      <c r="A5" s="26" t="inlineStr">
        <is>
          <t>Week number</t>
        </is>
      </c>
      <c r="B5" s="27">
        <f>IF(COUNT('Scorecard'!$C$4:$C$16)=0,"",INDEX('Scorecard'!$A$4:$A$16,MATCH(9.99E+307,'Scorecard'!$C$4:$C$16)))</f>
        <v/>
      </c>
      <c r="C5" s="27">
        <f>IF(COUNT('Scorecard'!$C$4:$C$16)=0,"",1)</f>
        <v/>
      </c>
      <c r="D5" s="28">
        <f>""</f>
        <v/>
      </c>
    </row>
    <row r="6">
      <c r="A6" s="26" t="inlineStr">
        <is>
          <t>Reach</t>
        </is>
      </c>
      <c r="B6" s="27">
        <f>IF(COUNT('Scorecard'!$C$4:$C$16)=0,"",INDEX('Scorecard'!$C$4:$C$16,MATCH(9.99E+307,'Scorecard'!$C$4:$C$16)))</f>
        <v/>
      </c>
      <c r="C6" s="27">
        <f>IF(COUNT('Scorecard'!$C$4:$C$16)=0,"",INDEX('Scorecard'!$C$4:$C$16,1))</f>
        <v/>
      </c>
      <c r="D6" s="29">
        <f>IF(OR(N($C$6)=0,$B$6=""),"",$B$6/$C$6-1)</f>
        <v/>
      </c>
    </row>
    <row r="7">
      <c r="A7" s="26" t="inlineStr">
        <is>
          <t>Visits</t>
        </is>
      </c>
      <c r="B7" s="27">
        <f>IF(COUNT('Scorecard'!$C$4:$C$16)=0,"",INDEX('Scorecard'!$D$4:$D$16,MATCH(9.99E+307,'Scorecard'!$C$4:$C$16)))</f>
        <v/>
      </c>
      <c r="C7" s="27">
        <f>IF(COUNT('Scorecard'!$C$4:$C$16)=0,"",INDEX('Scorecard'!$D$4:$D$16,1))</f>
        <v/>
      </c>
      <c r="D7" s="29">
        <f>IF(OR(N($C$7)=0,$B$7=""),"",$B$7/$C$7-1)</f>
        <v/>
      </c>
    </row>
    <row r="8">
      <c r="A8" s="26" t="inlineStr">
        <is>
          <t>Leads</t>
        </is>
      </c>
      <c r="B8" s="27">
        <f>IF(COUNT('Scorecard'!$C$4:$C$16)=0,"",INDEX('Scorecard'!$E$4:$E$16,MATCH(9.99E+307,'Scorecard'!$C$4:$C$16)))</f>
        <v/>
      </c>
      <c r="C8" s="27">
        <f>IF(COUNT('Scorecard'!$C$4:$C$16)=0,"",INDEX('Scorecard'!$E$4:$E$16,1))</f>
        <v/>
      </c>
      <c r="D8" s="29">
        <f>IF(OR(N($C$8)=0,$B$8=""),"",$B$8/$C$8-1)</f>
        <v/>
      </c>
    </row>
    <row r="9">
      <c r="A9" s="26" t="inlineStr">
        <is>
          <t>Sales</t>
        </is>
      </c>
      <c r="B9" s="27">
        <f>IF(COUNT('Scorecard'!$C$4:$C$16)=0,"",INDEX('Scorecard'!$F$4:$F$16,MATCH(9.99E+307,'Scorecard'!$C$4:$C$16)))</f>
        <v/>
      </c>
      <c r="C9" s="27">
        <f>IF(COUNT('Scorecard'!$C$4:$C$16)=0,"",INDEX('Scorecard'!$F$4:$F$16,1))</f>
        <v/>
      </c>
      <c r="D9" s="29">
        <f>IF(OR(N($C$9)=0,$B$9=""),"",$B$9/$C$9-1)</f>
        <v/>
      </c>
    </row>
    <row r="10">
      <c r="A10" s="26" t="inlineStr">
        <is>
          <t>Revenue ($)</t>
        </is>
      </c>
      <c r="B10" s="30">
        <f>IF(COUNT('Scorecard'!$C$4:$C$16)=0,"",INDEX('Scorecard'!$G$4:$G$16,MATCH(9.99E+307,'Scorecard'!$C$4:$C$16)))</f>
        <v/>
      </c>
      <c r="C10" s="30">
        <f>IF(COUNT('Scorecard'!$C$4:$C$16)=0,"",INDEX('Scorecard'!$G$4:$G$16,1))</f>
        <v/>
      </c>
      <c r="D10" s="29">
        <f>IF(OR(N($C$10)=0,$B$10=""),"",$B$10/$C$10-1)</f>
        <v/>
      </c>
    </row>
    <row r="11">
      <c r="A11" s="26" t="inlineStr">
        <is>
          <t>Reach to visits</t>
        </is>
      </c>
      <c r="B11" s="31">
        <f>IF(COUNT('Scorecard'!$C$4:$C$16)=0,"",INDEX('Scorecard'!$K$4:$K$16,MATCH(9.99E+307,'Scorecard'!$C$4:$C$16)))</f>
        <v/>
      </c>
      <c r="C11" s="31">
        <f>IF(COUNT('Scorecard'!$C$4:$C$16)=0,"",INDEX('Scorecard'!$K$4:$K$16,1))</f>
        <v/>
      </c>
      <c r="D11" s="28">
        <f>""</f>
        <v/>
      </c>
    </row>
    <row r="12">
      <c r="A12" s="26" t="inlineStr">
        <is>
          <t>Visits to leads</t>
        </is>
      </c>
      <c r="B12" s="31">
        <f>IF(COUNT('Scorecard'!$C$4:$C$16)=0,"",INDEX('Scorecard'!$L$4:$L$16,MATCH(9.99E+307,'Scorecard'!$C$4:$C$16)))</f>
        <v/>
      </c>
      <c r="C12" s="31">
        <f>IF(COUNT('Scorecard'!$C$4:$C$16)=0,"",INDEX('Scorecard'!$L$4:$L$16,1))</f>
        <v/>
      </c>
      <c r="D12" s="28">
        <f>""</f>
        <v/>
      </c>
    </row>
    <row r="13">
      <c r="A13" s="26" t="inlineStr">
        <is>
          <t>Leads to sales</t>
        </is>
      </c>
      <c r="B13" s="29">
        <f>IF(COUNT('Scorecard'!$C$4:$C$16)=0,"",INDEX('Scorecard'!$M$4:$M$16,MATCH(9.99E+307,'Scorecard'!$C$4:$C$16)))</f>
        <v/>
      </c>
      <c r="C13" s="29">
        <f>IF(COUNT('Scorecard'!$C$4:$C$16)=0,"",INDEX('Scorecard'!$M$4:$M$16,1))</f>
        <v/>
      </c>
      <c r="D13" s="28">
        <f>""</f>
        <v/>
      </c>
    </row>
    <row r="15">
      <c r="A15" s="1" t="inlineStr">
        <is>
          <t>YOUR CALL THIS WEEK</t>
        </is>
      </c>
    </row>
    <row r="16">
      <c r="A16" s="32" t="inlineStr">
        <is>
          <t>Biggest drop in a rate</t>
        </is>
      </c>
      <c r="B16" s="33">
        <f>IF(COUNT('Scorecard'!$C$4:$C$16)=0,"",INDEX('Scorecard'!$S$4:$S$16,MATCH(9.99E+307,'Scorecard'!$C$4:$C$16))&amp;"")</f>
        <v/>
      </c>
    </row>
    <row r="17">
      <c r="A17" s="26" t="inlineStr">
        <is>
          <t>Double down on</t>
        </is>
      </c>
      <c r="B17" s="28">
        <f>IF(COUNT('Scorecard'!$C$4:$C$16)=0,"",INDEX('Scorecard'!$T$4:$T$16,MATCH(9.99E+307,'Scorecard'!$C$4:$C$16))&amp;"")</f>
        <v/>
      </c>
    </row>
    <row r="18">
      <c r="A18" s="26" t="inlineStr">
        <is>
          <t>One test next week</t>
        </is>
      </c>
      <c r="B18" s="28">
        <f>IF(COUNT('Scorecard'!$C$4:$C$16)=0,"",INDEX('Scorecard'!$W$4:$W$16,MATCH(9.99E+307,'Scorecard'!$C$4:$C$16))&amp;"")</f>
        <v/>
      </c>
    </row>
    <row r="19">
      <c r="A19" s="26" t="inlineStr">
        <is>
          <t>Total revenue logged ($)</t>
        </is>
      </c>
      <c r="B19" s="30">
        <f>SUM('Scorecard'!$G$4:$G$16)</f>
        <v/>
      </c>
    </row>
    <row r="20">
      <c r="A20" s="26" t="inlineStr">
        <is>
          <t>Weeks logged</t>
        </is>
      </c>
      <c r="B20" s="27">
        <f>COUNT('Scorecard'!$C$4:$C$16)</f>
        <v/>
      </c>
    </row>
  </sheetData>
  <pageMargins left="0.75" right="0.75" top="1" bottom="1" header="0.5" footer="0.5"/>
  <pageSetup orientation="portrait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tabSelected="0" workbookViewId="0">
      <selection activeCell="A1" sqref="A1"/>
    </sheetView>
  </sheetViews>
  <sheetFormatPr baseColWidth="8" defaultRowHeight="15"/>
  <sheetData>
    <row r="1">
      <c r="A1" s="12" t="inlineStr">
        <is>
          <t>Your trend</t>
        </is>
      </c>
    </row>
    <row r="2">
      <c r="A2" s="13" t="inlineStr">
        <is>
          <t>Charts read from the Scorecard tab. Look for the step that moved most, up or down.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127</dc:creator>
  <dc:title xmlns:dc="http://purl.org/dc/elements/1.1/">Weekly Founder Scorecard</dc:title>
  <dcterms:created xmlns:dcterms="http://purl.org/dc/terms/" xmlns:xsi="http://www.w3.org/2001/XMLSchema-instance" xsi:type="dcterms:W3CDTF">2026-10-20T03:16:33Z</dcterms:created>
  <dcterms:modified xmlns:dcterms="http://purl.org/dc/terms/" xmlns:xsi="http://www.w3.org/2001/XMLSchema-instance" xsi:type="dcterms:W3CDTF">2026-10-20T03:16:33Z</dcterms:modified>
</cp:coreProperties>
</file>