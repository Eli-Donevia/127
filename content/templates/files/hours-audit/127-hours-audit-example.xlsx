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Audit" sheetId="2" state="visible" r:id="rId2"/>
    <sheet xmlns:r="http://schemas.openxmlformats.org/officeDocument/2006/relationships" name="Summary" sheetId="3" state="visible" r:id="rId3"/>
  </sheets>
  <definedNames>
    <definedName name="_xlnm._FilterDatabase" localSheetId="1" hidden="1">'Audit'!$A$3:$J$43</definedName>
    <definedName name="_xlnm.Print_Titles" localSheetId="1">'Audit'!$3:$3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4">
    <font>
      <name val="Calibri"/>
      <family val="2"/>
      <color theme="1"/>
      <sz val="11"/>
      <scheme val="minor"/>
    </font>
    <font>
      <name val="Arial"/>
      <b val="1"/>
      <color rgb="007B7B86"/>
      <sz val="9"/>
    </font>
    <font>
      <name val="Arial"/>
      <b val="1"/>
      <color rgb="00060607"/>
      <sz val="22"/>
    </font>
    <font>
      <name val="Arial"/>
      <color rgb="005A5A66"/>
      <sz val="11"/>
    </font>
    <font>
      <name val="Arial"/>
      <b val="1"/>
      <color rgb="001B1B20"/>
      <sz val="10"/>
    </font>
    <font>
      <name val="Arial"/>
      <color rgb="001B1B20"/>
      <sz val="11"/>
    </font>
    <font>
      <name val="Arial"/>
      <color rgb="001B1B20"/>
      <sz val="10"/>
    </font>
    <font>
      <name val="Arial"/>
      <color rgb="005A5A66"/>
      <sz val="10"/>
    </font>
    <font>
      <name val="Arial"/>
      <i val="1"/>
      <color rgb="005A5A66"/>
      <sz val="10"/>
    </font>
    <font>
      <name val="Arial"/>
      <color rgb="007B7B86"/>
      <sz val="8"/>
    </font>
    <font>
      <name val="Arial"/>
      <b val="1"/>
      <color rgb="00060607"/>
      <sz val="14"/>
    </font>
    <font>
      <name val="Arial"/>
      <color rgb="007B7B86"/>
      <sz val="9"/>
    </font>
    <font>
      <name val="Arial"/>
      <b val="1"/>
      <color rgb="00FFFFFF"/>
      <sz val="9"/>
    </font>
    <font>
      <name val="Arial"/>
      <color rgb="003A3A44"/>
      <sz val="10"/>
    </font>
  </fonts>
  <fills count="7">
    <fill>
      <patternFill/>
    </fill>
    <fill>
      <patternFill patternType="gray125"/>
    </fill>
    <fill>
      <patternFill patternType="solid">
        <fgColor rgb="00ECEEFB"/>
        <bgColor rgb="00ECEEFB"/>
      </patternFill>
    </fill>
    <fill>
      <patternFill patternType="solid">
        <fgColor rgb="00FFFFFF"/>
        <bgColor rgb="00FFFFFF"/>
      </patternFill>
    </fill>
    <fill>
      <patternFill patternType="solid">
        <fgColor rgb="00F2F2F5"/>
        <bgColor rgb="00F2F2F5"/>
      </patternFill>
    </fill>
    <fill>
      <patternFill patternType="solid">
        <fgColor rgb="00060607"/>
        <bgColor rgb="00060607"/>
      </patternFill>
    </fill>
    <fill>
      <patternFill patternType="solid">
        <fgColor rgb="002B2B33"/>
        <bgColor rgb="002B2B33"/>
      </patternFill>
    </fill>
  </fills>
  <borders count="4">
    <border>
      <left/>
      <right/>
      <top/>
      <bottom/>
      <diagonal/>
    </border>
    <border>
      <left style="thin">
        <color rgb="00D9D9DE"/>
      </left>
      <right style="thin">
        <color rgb="00D9D9DE"/>
      </right>
      <top style="thin">
        <color rgb="00D9D9DE"/>
      </top>
      <bottom style="thin">
        <color rgb="00D9D9DE"/>
      </bottom>
    </border>
    <border>
      <left style="thin">
        <color rgb="003A3A44"/>
      </left>
      <right style="thin">
        <color rgb="003A3A44"/>
      </right>
    </border>
    <border>
      <bottom style="thin">
        <color rgb="00D9D9DE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wrapText="1"/>
    </xf>
    <xf numFmtId="0" fontId="5" fillId="0" borderId="0" applyAlignment="1" pivotButton="0" quotePrefix="0" xfId="0">
      <alignment vertical="top" wrapText="1"/>
    </xf>
    <xf numFmtId="0" fontId="6" fillId="3" borderId="1" pivotButton="0" quotePrefix="0" xfId="0"/>
    <xf numFmtId="0" fontId="6" fillId="4" borderId="1" pivotButton="0" quotePrefix="0" xfId="0"/>
    <xf numFmtId="0" fontId="6" fillId="2" borderId="1" pivotButton="0" quotePrefix="0" xfId="0"/>
    <xf numFmtId="0" fontId="7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4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5" borderId="2" applyAlignment="1" pivotButton="0" quotePrefix="0" xfId="0">
      <alignment horizontal="left" vertical="center" wrapText="1"/>
    </xf>
    <xf numFmtId="0" fontId="12" fillId="6" borderId="2" applyAlignment="1" pivotButton="0" quotePrefix="0" xfId="0">
      <alignment horizontal="left" vertical="center" wrapText="1"/>
    </xf>
    <xf numFmtId="0" fontId="6" fillId="3" borderId="1" applyAlignment="1" pivotButton="0" quotePrefix="0" xfId="0">
      <alignment vertical="top" wrapText="1"/>
    </xf>
    <xf numFmtId="164" fontId="6" fillId="3" borderId="1" applyAlignment="1" pivotButton="0" quotePrefix="0" xfId="0">
      <alignment vertical="top"/>
    </xf>
    <xf numFmtId="0" fontId="6" fillId="3" borderId="1" applyAlignment="1" pivotButton="0" quotePrefix="0" xfId="0">
      <alignment vertical="top"/>
    </xf>
    <xf numFmtId="0" fontId="4" fillId="2" borderId="1" applyAlignment="1" pivotButton="0" quotePrefix="0" xfId="0">
      <alignment vertical="top"/>
    </xf>
    <xf numFmtId="0" fontId="13" fillId="4" borderId="1" applyAlignment="1" pivotButton="0" quotePrefix="0" xfId="0">
      <alignment vertical="top"/>
    </xf>
    <xf numFmtId="0" fontId="6" fillId="0" borderId="3" applyAlignment="1" pivotButton="0" quotePrefix="0" xfId="0">
      <alignment vertical="top" wrapText="1"/>
    </xf>
    <xf numFmtId="164" fontId="6" fillId="4" borderId="1" applyAlignment="1" pivotButton="0" quotePrefix="0" xfId="0">
      <alignment vertical="top" wrapText="1"/>
    </xf>
    <xf numFmtId="9" fontId="6" fillId="4" borderId="1" applyAlignment="1" pivotButton="0" quotePrefix="0" xfId="0">
      <alignment vertical="top" wrapText="1"/>
    </xf>
    <xf numFmtId="0" fontId="4" fillId="0" borderId="3" applyAlignment="1" pivotButton="0" quotePrefix="0" xfId="0">
      <alignment vertical="top" wrapText="1"/>
    </xf>
    <xf numFmtId="164" fontId="4" fillId="2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name val="Arial"/>
        <b val="1"/>
      </font>
      <fill>
        <patternFill patternType="solid">
          <fgColor rgb="00FBE3DE"/>
          <bgColor rgb="00FBE3DE"/>
        </patternFill>
      </fill>
    </dxf>
    <dxf>
      <fill>
        <patternFill patternType="solid">
          <fgColor rgb="00ECEEFB"/>
          <bgColor rgb="00ECEEFB"/>
        </patternFill>
      </fill>
    </dxf>
    <dxf>
      <font>
        <name val="Arial"/>
        <b val="1"/>
      </font>
      <fill>
        <patternFill patternType="solid">
          <fgColor rgb="00DDF3E7"/>
          <bgColor rgb="00DDF3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9"/>
  <sheetViews>
    <sheetView showGridLines="0" tabSelected="1" workbookViewId="0">
      <selection activeCell="A1" sqref="A1"/>
    </sheetView>
  </sheetViews>
  <sheetFormatPr baseColWidth="8" defaultRowHeight="15"/>
  <cols>
    <col width="3" customWidth="1" min="1" max="1"/>
    <col width="96" customWidth="1" min="2" max="2"/>
  </cols>
  <sheetData>
    <row r="2">
      <c r="B2" s="1" t="inlineStr">
        <is>
          <t>127  ·  BUILD TRACK  ·  BUILDER</t>
        </is>
      </c>
    </row>
    <row r="3" ht="34" customHeight="1">
      <c r="B3" s="2" t="inlineStr">
        <is>
          <t>Hours Audit  (filled example)</t>
        </is>
      </c>
    </row>
    <row r="4" ht="30" customHeight="1">
      <c r="B4" s="3" t="inlineStr">
        <is>
          <t>List every task from last week with the time it took, tag it only me, repeat or waste, and let the sheet pick your best first handoff.</t>
        </is>
      </c>
    </row>
    <row r="6" ht="30" customHeight="1">
      <c r="B6" s="4" t="inlineStr">
        <is>
          <t>This copy is filled in with a made-up example so you can see what good looks like. Use the blank file for your own business.</t>
        </is>
      </c>
    </row>
    <row r="8">
      <c r="B8" s="1" t="inlineStr">
        <is>
          <t>HOW TO USE IT</t>
        </is>
      </c>
    </row>
    <row r="9" ht="32" customHeight="1">
      <c r="B9" s="5" t="inlineStr">
        <is>
          <t>1.  Open last week's calendar, screen time, texts and notes. List every business task and the hours it took.</t>
        </is>
      </c>
    </row>
    <row r="10" ht="32" customHeight="1">
      <c r="B10" s="5" t="inlineStr">
        <is>
          <t>2.  Tag each one. Only me: needs your judgment, face or relationships. Repeat: same way every time. Waste: didn't need doing.</t>
        </is>
      </c>
    </row>
    <row r="11" ht="16" customHeight="1">
      <c r="B11" s="5" t="inlineStr">
        <is>
          <t>3.  For repeat tasks, answer: same steps every time? Fine if done 80% as well?</t>
        </is>
      </c>
    </row>
    <row r="12" ht="16" customHeight="1">
      <c r="B12" s="5" t="inlineStr">
        <is>
          <t>4.  The sheet scores each repeat task. Highest score = your best first handoff.</t>
        </is>
      </c>
    </row>
    <row r="13" ht="32" customHeight="1">
      <c r="B13" s="5" t="inlineStr">
        <is>
          <t>5.  Pick who or what runs it: a saved reply, an automation, an AI tool, a freelancer or a friend.</t>
        </is>
      </c>
    </row>
    <row r="14" ht="16" customHeight="1">
      <c r="B14" s="5" t="inlineStr">
        <is>
          <t>6.  Cut every waste task today. Then write the SOP for your first handoff.</t>
        </is>
      </c>
    </row>
    <row r="16">
      <c r="B16" s="1" t="inlineStr">
        <is>
          <t>CELL COLORS</t>
        </is>
      </c>
    </row>
    <row r="17">
      <c r="B17" s="6" t="inlineStr">
        <is>
          <t>White cells: you type here.</t>
        </is>
      </c>
    </row>
    <row r="18">
      <c r="B18" s="7" t="inlineStr">
        <is>
          <t>Grey cells: calculated for you. Leave them alone.</t>
        </is>
      </c>
    </row>
    <row r="19">
      <c r="B19" s="8" t="inlineStr">
        <is>
          <t>Lilac cells: the answer you came for.</t>
        </is>
      </c>
    </row>
    <row r="21">
      <c r="B21" s="1" t="inlineStr">
        <is>
          <t>OPEN IT ANYWHERE</t>
        </is>
      </c>
    </row>
    <row r="22" ht="30" customHeight="1">
      <c r="B22" s="9" t="inlineStr">
        <is>
          <t>Google Sheets: go to sheets.new, then File &gt; Import &gt; Upload this file &gt; Replace spreadsheet. Formulas and dropdowns come with it.</t>
        </is>
      </c>
    </row>
    <row r="23" ht="15" customHeight="1">
      <c r="B23" s="9" t="inlineStr">
        <is>
          <t>Excel: double-click the file. Numbers on a Mac: open it with Numbers.</t>
        </is>
      </c>
    </row>
    <row r="24" ht="15" customHeight="1">
      <c r="B24" s="9" t="inlineStr">
        <is>
          <t>Phone: upload it to Google Drive, then open it in the Google Sheets app.</t>
        </is>
      </c>
    </row>
    <row r="26" ht="30" customHeight="1">
      <c r="B26" s="10" t="inlineStr">
        <is>
          <t>Your business is only as valuable as it is when you aren't there to run it. Eli's rule, and the reason this sheet exists.</t>
        </is>
      </c>
    </row>
    <row r="28">
      <c r="B28" s="11" t="inlineStr">
        <is>
          <t>Make today day one.  ·  127group.io</t>
        </is>
      </c>
    </row>
    <row r="29">
      <c r="B29" s="12" t="inlineStr">
        <is>
          <t>Template drafted from Eli Christiansen's frameworks. © 127 Group LLC. For your own business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43"/>
  <sheetViews>
    <sheetView showGridLines="0" tabSelected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" customWidth="1" min="2" max="2"/>
    <col width="10" customWidth="1" min="3" max="3"/>
    <col width="10" customWidth="1" min="4" max="4"/>
    <col width="10" customWidth="1" min="5" max="5"/>
    <col width="10" customWidth="1" min="6" max="6"/>
    <col width="20" customWidth="1" min="7" max="7"/>
    <col width="9" customWidth="1" min="8" max="8"/>
    <col width="6" customWidth="1" min="9" max="9"/>
    <col width="24" customWidth="1" min="10" max="10"/>
  </cols>
  <sheetData>
    <row r="1" ht="26" customHeight="1">
      <c r="A1" s="13" t="inlineStr">
        <is>
          <t>Hours Audit (last week)</t>
        </is>
      </c>
    </row>
    <row r="2" ht="16" customHeight="1">
      <c r="A2" s="14" t="inlineStr">
        <is>
          <t>Be honest. Twenty minutes answering the same DM five times counts.</t>
        </is>
      </c>
    </row>
    <row r="3" ht="40" customHeight="1">
      <c r="A3" s="15" t="inlineStr">
        <is>
          <t>Task</t>
        </is>
      </c>
      <c r="B3" s="15" t="inlineStr">
        <is>
          <t>Hours last week</t>
        </is>
      </c>
      <c r="C3" s="15" t="inlineStr">
        <is>
          <t>How often</t>
        </is>
      </c>
      <c r="D3" s="15" t="inlineStr">
        <is>
          <t>Tag</t>
        </is>
      </c>
      <c r="E3" s="15" t="inlineStr">
        <is>
          <t>Same steps every time?</t>
        </is>
      </c>
      <c r="F3" s="15" t="inlineStr">
        <is>
          <t>Fine if done 80% as well?</t>
        </is>
      </c>
      <c r="G3" s="15" t="inlineStr">
        <is>
          <t>Who or what could do it</t>
        </is>
      </c>
      <c r="H3" s="16" t="inlineStr">
        <is>
          <t>Handoff score</t>
        </is>
      </c>
      <c r="I3" s="16" t="inlineStr">
        <is>
          <t>Rank</t>
        </is>
      </c>
      <c r="J3" s="15" t="inlineStr">
        <is>
          <t>Notes</t>
        </is>
      </c>
    </row>
    <row r="4">
      <c r="A4" s="17" t="inlineStr">
        <is>
          <t>Answering "how much?" and "how long?" DMs</t>
        </is>
      </c>
      <c r="B4" s="18" t="n">
        <v>2</v>
      </c>
      <c r="C4" s="19" t="inlineStr">
        <is>
          <t>Daily</t>
        </is>
      </c>
      <c r="D4" s="19" t="inlineStr">
        <is>
          <t>Repeat</t>
        </is>
      </c>
      <c r="E4" s="19" t="inlineStr">
        <is>
          <t>Yes</t>
        </is>
      </c>
      <c r="F4" s="19" t="inlineStr">
        <is>
          <t>Yes</t>
        </is>
      </c>
      <c r="G4" s="19" t="inlineStr">
        <is>
          <t>Saved reply or template</t>
        </is>
      </c>
      <c r="H4" s="20">
        <f>IF(D4&lt;&gt;"Repeat","",IF(C4="Daily",3,IF(C4="Weekly",2,IF(C4="Monthly",1,0)))+IF(E4="Yes",2,0)+IF(F4="Yes",2,0)+MIN(5,N(B4)))</f>
        <v/>
      </c>
      <c r="I4" s="21">
        <f>IF(H4="","",COUNTIF($H$4:$H$43,"&gt;"&amp;H4)+1)</f>
        <v/>
      </c>
      <c r="J4" s="17" t="n"/>
    </row>
    <row r="5">
      <c r="A5" s="17" t="inlineStr">
        <is>
          <t>Scheduling pickups by text</t>
        </is>
      </c>
      <c r="B5" s="18" t="n">
        <v>1</v>
      </c>
      <c r="C5" s="19" t="inlineStr">
        <is>
          <t>Daily</t>
        </is>
      </c>
      <c r="D5" s="19" t="inlineStr">
        <is>
          <t>Repeat</t>
        </is>
      </c>
      <c r="E5" s="19" t="inlineStr">
        <is>
          <t>Yes</t>
        </is>
      </c>
      <c r="F5" s="19" t="inlineStr">
        <is>
          <t>Yes</t>
        </is>
      </c>
      <c r="G5" s="19" t="inlineStr">
        <is>
          <t>Automation</t>
        </is>
      </c>
      <c r="H5" s="20">
        <f>IF(D5&lt;&gt;"Repeat","",IF(C5="Daily",3,IF(C5="Weekly",2,IF(C5="Monthly",1,0)))+IF(E5="Yes",2,0)+IF(F5="Yes",2,0)+MIN(5,N(B5)))</f>
        <v/>
      </c>
      <c r="I5" s="21">
        <f>IF(H5="","",COUNTIF($H$4:$H$43,"&gt;"&amp;H5)+1)</f>
        <v/>
      </c>
      <c r="J5" s="17" t="inlineStr">
        <is>
          <t>Booking link</t>
        </is>
      </c>
    </row>
    <row r="6">
      <c r="A6" s="17" t="inlineStr">
        <is>
          <t>Cleaning shoes</t>
        </is>
      </c>
      <c r="B6" s="18" t="n">
        <v>6</v>
      </c>
      <c r="C6" s="19" t="inlineStr">
        <is>
          <t>Weekly</t>
        </is>
      </c>
      <c r="D6" s="19" t="inlineStr">
        <is>
          <t>Only me</t>
        </is>
      </c>
      <c r="E6" s="19" t="n"/>
      <c r="F6" s="19" t="n"/>
      <c r="G6" s="19" t="inlineStr">
        <is>
          <t>Keep doing it</t>
        </is>
      </c>
      <c r="H6" s="20">
        <f>IF(D6&lt;&gt;"Repeat","",IF(C6="Daily",3,IF(C6="Weekly",2,IF(C6="Monthly",1,0)))+IF(E6="Yes",2,0)+IF(F6="Yes",2,0)+MIN(5,N(B6)))</f>
        <v/>
      </c>
      <c r="I6" s="21">
        <f>IF(H6="","",COUNTIF($H$4:$H$43,"&gt;"&amp;H6)+1)</f>
        <v/>
      </c>
      <c r="J6" s="17" t="n"/>
    </row>
    <row r="7">
      <c r="A7" s="17" t="inlineStr">
        <is>
          <t>Filming before and afters</t>
        </is>
      </c>
      <c r="B7" s="18" t="n">
        <v>1.5</v>
      </c>
      <c r="C7" s="19" t="inlineStr">
        <is>
          <t>Weekly</t>
        </is>
      </c>
      <c r="D7" s="19" t="inlineStr">
        <is>
          <t>Only me</t>
        </is>
      </c>
      <c r="E7" s="19" t="n"/>
      <c r="F7" s="19" t="n"/>
      <c r="G7" s="19" t="inlineStr">
        <is>
          <t>Keep doing it</t>
        </is>
      </c>
      <c r="H7" s="20">
        <f>IF(D7&lt;&gt;"Repeat","",IF(C7="Daily",3,IF(C7="Weekly",2,IF(C7="Monthly",1,0)))+IF(E7="Yes",2,0)+IF(F7="Yes",2,0)+MIN(5,N(B7)))</f>
        <v/>
      </c>
      <c r="I7" s="21">
        <f>IF(H7="","",COUNTIF($H$4:$H$43,"&gt;"&amp;H7)+1)</f>
        <v/>
      </c>
      <c r="J7" s="17" t="n"/>
    </row>
    <row r="8">
      <c r="A8" s="17" t="inlineStr">
        <is>
          <t>Editing clips in CapCut</t>
        </is>
      </c>
      <c r="B8" s="18" t="n">
        <v>2</v>
      </c>
      <c r="C8" s="19" t="inlineStr">
        <is>
          <t>Weekly</t>
        </is>
      </c>
      <c r="D8" s="19" t="inlineStr">
        <is>
          <t>Repeat</t>
        </is>
      </c>
      <c r="E8" s="19" t="inlineStr">
        <is>
          <t>No</t>
        </is>
      </c>
      <c r="F8" s="19" t="inlineStr">
        <is>
          <t>Yes</t>
        </is>
      </c>
      <c r="G8" s="19" t="inlineStr">
        <is>
          <t>Freelancer</t>
        </is>
      </c>
      <c r="H8" s="20">
        <f>IF(D8&lt;&gt;"Repeat","",IF(C8="Daily",3,IF(C8="Weekly",2,IF(C8="Monthly",1,0)))+IF(E8="Yes",2,0)+IF(F8="Yes",2,0)+MIN(5,N(B8)))</f>
        <v/>
      </c>
      <c r="I8" s="21">
        <f>IF(H8="","",COUNTIF($H$4:$H$43,"&gt;"&amp;H8)+1)</f>
        <v/>
      </c>
      <c r="J8" s="17" t="inlineStr">
        <is>
          <t>Later, once the format is set</t>
        </is>
      </c>
    </row>
    <row r="9">
      <c r="A9" s="17" t="inlineStr">
        <is>
          <t>Writing captions</t>
        </is>
      </c>
      <c r="B9" s="18" t="n">
        <v>1</v>
      </c>
      <c r="C9" s="19" t="inlineStr">
        <is>
          <t>Weekly</t>
        </is>
      </c>
      <c r="D9" s="19" t="inlineStr">
        <is>
          <t>Repeat</t>
        </is>
      </c>
      <c r="E9" s="19" t="inlineStr">
        <is>
          <t>Yes</t>
        </is>
      </c>
      <c r="F9" s="19" t="inlineStr">
        <is>
          <t>Yes</t>
        </is>
      </c>
      <c r="G9" s="19" t="inlineStr">
        <is>
          <t>AI tool</t>
        </is>
      </c>
      <c r="H9" s="20">
        <f>IF(D9&lt;&gt;"Repeat","",IF(C9="Daily",3,IF(C9="Weekly",2,IF(C9="Monthly",1,0)))+IF(E9="Yes",2,0)+IF(F9="Yes",2,0)+MIN(5,N(B9)))</f>
        <v/>
      </c>
      <c r="I9" s="21">
        <f>IF(H9="","",COUNTIF($H$4:$H$43,"&gt;"&amp;H9)+1)</f>
        <v/>
      </c>
      <c r="J9" s="17" t="inlineStr">
        <is>
          <t>Claude drafts, I edit</t>
        </is>
      </c>
    </row>
    <row r="10">
      <c r="A10" s="17" t="inlineStr">
        <is>
          <t>Redesigning the logo</t>
        </is>
      </c>
      <c r="B10" s="18" t="n">
        <v>2</v>
      </c>
      <c r="C10" s="19" t="inlineStr">
        <is>
          <t>Once</t>
        </is>
      </c>
      <c r="D10" s="19" t="inlineStr">
        <is>
          <t>Waste</t>
        </is>
      </c>
      <c r="E10" s="19" t="n"/>
      <c r="F10" s="19" t="n"/>
      <c r="G10" s="19" t="inlineStr">
        <is>
          <t>Cut it</t>
        </is>
      </c>
      <c r="H10" s="20">
        <f>IF(D10&lt;&gt;"Repeat","",IF(C10="Daily",3,IF(C10="Weekly",2,IF(C10="Monthly",1,0)))+IF(E10="Yes",2,0)+IF(F10="Yes",2,0)+MIN(5,N(B10)))</f>
        <v/>
      </c>
      <c r="I10" s="21">
        <f>IF(H10="","",COUNTIF($H$4:$H$43,"&gt;"&amp;H10)+1)</f>
        <v/>
      </c>
      <c r="J10" s="17" t="n"/>
    </row>
    <row r="11">
      <c r="A11" s="17" t="inlineStr">
        <is>
          <t>Sending payment links</t>
        </is>
      </c>
      <c r="B11" s="18" t="n">
        <v>0.5</v>
      </c>
      <c r="C11" s="19" t="inlineStr">
        <is>
          <t>Weekly</t>
        </is>
      </c>
      <c r="D11" s="19" t="inlineStr">
        <is>
          <t>Repeat</t>
        </is>
      </c>
      <c r="E11" s="19" t="inlineStr">
        <is>
          <t>Yes</t>
        </is>
      </c>
      <c r="F11" s="19" t="inlineStr">
        <is>
          <t>No</t>
        </is>
      </c>
      <c r="G11" s="19" t="inlineStr">
        <is>
          <t>Automation</t>
        </is>
      </c>
      <c r="H11" s="20">
        <f>IF(D11&lt;&gt;"Repeat","",IF(C11="Daily",3,IF(C11="Weekly",2,IF(C11="Monthly",1,0)))+IF(E11="Yes",2,0)+IF(F11="Yes",2,0)+MIN(5,N(B11)))</f>
        <v/>
      </c>
      <c r="I11" s="21">
        <f>IF(H11="","",COUNTIF($H$4:$H$43,"&gt;"&amp;H11)+1)</f>
        <v/>
      </c>
      <c r="J11" s="17" t="n"/>
    </row>
    <row r="12">
      <c r="A12" s="17" t="inlineStr">
        <is>
          <t>Scrolling competitor accounts</t>
        </is>
      </c>
      <c r="B12" s="18" t="n">
        <v>1.5</v>
      </c>
      <c r="C12" s="19" t="inlineStr">
        <is>
          <t>Daily</t>
        </is>
      </c>
      <c r="D12" s="19" t="inlineStr">
        <is>
          <t>Waste</t>
        </is>
      </c>
      <c r="E12" s="19" t="n"/>
      <c r="F12" s="19" t="n"/>
      <c r="G12" s="19" t="inlineStr">
        <is>
          <t>Cut it</t>
        </is>
      </c>
      <c r="H12" s="20">
        <f>IF(D12&lt;&gt;"Repeat","",IF(C12="Daily",3,IF(C12="Weekly",2,IF(C12="Monthly",1,0)))+IF(E12="Yes",2,0)+IF(F12="Yes",2,0)+MIN(5,N(B12)))</f>
        <v/>
      </c>
      <c r="I12" s="21">
        <f>IF(H12="","",COUNTIF($H$4:$H$43,"&gt;"&amp;H12)+1)</f>
        <v/>
      </c>
      <c r="J12" s="17" t="n"/>
    </row>
    <row r="13">
      <c r="A13" s="17" t="n"/>
      <c r="B13" s="18" t="n"/>
      <c r="C13" s="19" t="n"/>
      <c r="D13" s="19" t="n"/>
      <c r="E13" s="19" t="n"/>
      <c r="F13" s="19" t="n"/>
      <c r="G13" s="19" t="n"/>
      <c r="H13" s="20">
        <f>IF(D13&lt;&gt;"Repeat","",IF(C13="Daily",3,IF(C13="Weekly",2,IF(C13="Monthly",1,0)))+IF(E13="Yes",2,0)+IF(F13="Yes",2,0)+MIN(5,N(B13)))</f>
        <v/>
      </c>
      <c r="I13" s="21">
        <f>IF(H13="","",COUNTIF($H$4:$H$43,"&gt;"&amp;H13)+1)</f>
        <v/>
      </c>
      <c r="J13" s="17" t="n"/>
    </row>
    <row r="14">
      <c r="A14" s="17" t="n"/>
      <c r="B14" s="18" t="n"/>
      <c r="C14" s="19" t="n"/>
      <c r="D14" s="19" t="n"/>
      <c r="E14" s="19" t="n"/>
      <c r="F14" s="19" t="n"/>
      <c r="G14" s="19" t="n"/>
      <c r="H14" s="20">
        <f>IF(D14&lt;&gt;"Repeat","",IF(C14="Daily",3,IF(C14="Weekly",2,IF(C14="Monthly",1,0)))+IF(E14="Yes",2,0)+IF(F14="Yes",2,0)+MIN(5,N(B14)))</f>
        <v/>
      </c>
      <c r="I14" s="21">
        <f>IF(H14="","",COUNTIF($H$4:$H$43,"&gt;"&amp;H14)+1)</f>
        <v/>
      </c>
      <c r="J14" s="17" t="n"/>
    </row>
    <row r="15">
      <c r="A15" s="17" t="n"/>
      <c r="B15" s="18" t="n"/>
      <c r="C15" s="19" t="n"/>
      <c r="D15" s="19" t="n"/>
      <c r="E15" s="19" t="n"/>
      <c r="F15" s="19" t="n"/>
      <c r="G15" s="19" t="n"/>
      <c r="H15" s="20">
        <f>IF(D15&lt;&gt;"Repeat","",IF(C15="Daily",3,IF(C15="Weekly",2,IF(C15="Monthly",1,0)))+IF(E15="Yes",2,0)+IF(F15="Yes",2,0)+MIN(5,N(B15)))</f>
        <v/>
      </c>
      <c r="I15" s="21">
        <f>IF(H15="","",COUNTIF($H$4:$H$43,"&gt;"&amp;H15)+1)</f>
        <v/>
      </c>
      <c r="J15" s="17" t="n"/>
    </row>
    <row r="16">
      <c r="A16" s="17" t="n"/>
      <c r="B16" s="18" t="n"/>
      <c r="C16" s="19" t="n"/>
      <c r="D16" s="19" t="n"/>
      <c r="E16" s="19" t="n"/>
      <c r="F16" s="19" t="n"/>
      <c r="G16" s="19" t="n"/>
      <c r="H16" s="20">
        <f>IF(D16&lt;&gt;"Repeat","",IF(C16="Daily",3,IF(C16="Weekly",2,IF(C16="Monthly",1,0)))+IF(E16="Yes",2,0)+IF(F16="Yes",2,0)+MIN(5,N(B16)))</f>
        <v/>
      </c>
      <c r="I16" s="21">
        <f>IF(H16="","",COUNTIF($H$4:$H$43,"&gt;"&amp;H16)+1)</f>
        <v/>
      </c>
      <c r="J16" s="17" t="n"/>
    </row>
    <row r="17">
      <c r="A17" s="17" t="n"/>
      <c r="B17" s="18" t="n"/>
      <c r="C17" s="19" t="n"/>
      <c r="D17" s="19" t="n"/>
      <c r="E17" s="19" t="n"/>
      <c r="F17" s="19" t="n"/>
      <c r="G17" s="19" t="n"/>
      <c r="H17" s="20">
        <f>IF(D17&lt;&gt;"Repeat","",IF(C17="Daily",3,IF(C17="Weekly",2,IF(C17="Monthly",1,0)))+IF(E17="Yes",2,0)+IF(F17="Yes",2,0)+MIN(5,N(B17)))</f>
        <v/>
      </c>
      <c r="I17" s="21">
        <f>IF(H17="","",COUNTIF($H$4:$H$43,"&gt;"&amp;H17)+1)</f>
        <v/>
      </c>
      <c r="J17" s="17" t="n"/>
    </row>
    <row r="18">
      <c r="A18" s="17" t="n"/>
      <c r="B18" s="18" t="n"/>
      <c r="C18" s="19" t="n"/>
      <c r="D18" s="19" t="n"/>
      <c r="E18" s="19" t="n"/>
      <c r="F18" s="19" t="n"/>
      <c r="G18" s="19" t="n"/>
      <c r="H18" s="20">
        <f>IF(D18&lt;&gt;"Repeat","",IF(C18="Daily",3,IF(C18="Weekly",2,IF(C18="Monthly",1,0)))+IF(E18="Yes",2,0)+IF(F18="Yes",2,0)+MIN(5,N(B18)))</f>
        <v/>
      </c>
      <c r="I18" s="21">
        <f>IF(H18="","",COUNTIF($H$4:$H$43,"&gt;"&amp;H18)+1)</f>
        <v/>
      </c>
      <c r="J18" s="17" t="n"/>
    </row>
    <row r="19">
      <c r="A19" s="17" t="n"/>
      <c r="B19" s="18" t="n"/>
      <c r="C19" s="19" t="n"/>
      <c r="D19" s="19" t="n"/>
      <c r="E19" s="19" t="n"/>
      <c r="F19" s="19" t="n"/>
      <c r="G19" s="19" t="n"/>
      <c r="H19" s="20">
        <f>IF(D19&lt;&gt;"Repeat","",IF(C19="Daily",3,IF(C19="Weekly",2,IF(C19="Monthly",1,0)))+IF(E19="Yes",2,0)+IF(F19="Yes",2,0)+MIN(5,N(B19)))</f>
        <v/>
      </c>
      <c r="I19" s="21">
        <f>IF(H19="","",COUNTIF($H$4:$H$43,"&gt;"&amp;H19)+1)</f>
        <v/>
      </c>
      <c r="J19" s="17" t="n"/>
    </row>
    <row r="20">
      <c r="A20" s="17" t="n"/>
      <c r="B20" s="18" t="n"/>
      <c r="C20" s="19" t="n"/>
      <c r="D20" s="19" t="n"/>
      <c r="E20" s="19" t="n"/>
      <c r="F20" s="19" t="n"/>
      <c r="G20" s="19" t="n"/>
      <c r="H20" s="20">
        <f>IF(D20&lt;&gt;"Repeat","",IF(C20="Daily",3,IF(C20="Weekly",2,IF(C20="Monthly",1,0)))+IF(E20="Yes",2,0)+IF(F20="Yes",2,0)+MIN(5,N(B20)))</f>
        <v/>
      </c>
      <c r="I20" s="21">
        <f>IF(H20="","",COUNTIF($H$4:$H$43,"&gt;"&amp;H20)+1)</f>
        <v/>
      </c>
      <c r="J20" s="17" t="n"/>
    </row>
    <row r="21">
      <c r="A21" s="17" t="n"/>
      <c r="B21" s="18" t="n"/>
      <c r="C21" s="19" t="n"/>
      <c r="D21" s="19" t="n"/>
      <c r="E21" s="19" t="n"/>
      <c r="F21" s="19" t="n"/>
      <c r="G21" s="19" t="n"/>
      <c r="H21" s="20">
        <f>IF(D21&lt;&gt;"Repeat","",IF(C21="Daily",3,IF(C21="Weekly",2,IF(C21="Monthly",1,0)))+IF(E21="Yes",2,0)+IF(F21="Yes",2,0)+MIN(5,N(B21)))</f>
        <v/>
      </c>
      <c r="I21" s="21">
        <f>IF(H21="","",COUNTIF($H$4:$H$43,"&gt;"&amp;H21)+1)</f>
        <v/>
      </c>
      <c r="J21" s="17" t="n"/>
    </row>
    <row r="22">
      <c r="A22" s="17" t="n"/>
      <c r="B22" s="18" t="n"/>
      <c r="C22" s="19" t="n"/>
      <c r="D22" s="19" t="n"/>
      <c r="E22" s="19" t="n"/>
      <c r="F22" s="19" t="n"/>
      <c r="G22" s="19" t="n"/>
      <c r="H22" s="20">
        <f>IF(D22&lt;&gt;"Repeat","",IF(C22="Daily",3,IF(C22="Weekly",2,IF(C22="Monthly",1,0)))+IF(E22="Yes",2,0)+IF(F22="Yes",2,0)+MIN(5,N(B22)))</f>
        <v/>
      </c>
      <c r="I22" s="21">
        <f>IF(H22="","",COUNTIF($H$4:$H$43,"&gt;"&amp;H22)+1)</f>
        <v/>
      </c>
      <c r="J22" s="17" t="n"/>
    </row>
    <row r="23">
      <c r="A23" s="17" t="n"/>
      <c r="B23" s="18" t="n"/>
      <c r="C23" s="19" t="n"/>
      <c r="D23" s="19" t="n"/>
      <c r="E23" s="19" t="n"/>
      <c r="F23" s="19" t="n"/>
      <c r="G23" s="19" t="n"/>
      <c r="H23" s="20">
        <f>IF(D23&lt;&gt;"Repeat","",IF(C23="Daily",3,IF(C23="Weekly",2,IF(C23="Monthly",1,0)))+IF(E23="Yes",2,0)+IF(F23="Yes",2,0)+MIN(5,N(B23)))</f>
        <v/>
      </c>
      <c r="I23" s="21">
        <f>IF(H23="","",COUNTIF($H$4:$H$43,"&gt;"&amp;H23)+1)</f>
        <v/>
      </c>
      <c r="J23" s="17" t="n"/>
    </row>
    <row r="24">
      <c r="A24" s="17" t="n"/>
      <c r="B24" s="18" t="n"/>
      <c r="C24" s="19" t="n"/>
      <c r="D24" s="19" t="n"/>
      <c r="E24" s="19" t="n"/>
      <c r="F24" s="19" t="n"/>
      <c r="G24" s="19" t="n"/>
      <c r="H24" s="20">
        <f>IF(D24&lt;&gt;"Repeat","",IF(C24="Daily",3,IF(C24="Weekly",2,IF(C24="Monthly",1,0)))+IF(E24="Yes",2,0)+IF(F24="Yes",2,0)+MIN(5,N(B24)))</f>
        <v/>
      </c>
      <c r="I24" s="21">
        <f>IF(H24="","",COUNTIF($H$4:$H$43,"&gt;"&amp;H24)+1)</f>
        <v/>
      </c>
      <c r="J24" s="17" t="n"/>
    </row>
    <row r="25">
      <c r="A25" s="17" t="n"/>
      <c r="B25" s="18" t="n"/>
      <c r="C25" s="19" t="n"/>
      <c r="D25" s="19" t="n"/>
      <c r="E25" s="19" t="n"/>
      <c r="F25" s="19" t="n"/>
      <c r="G25" s="19" t="n"/>
      <c r="H25" s="20">
        <f>IF(D25&lt;&gt;"Repeat","",IF(C25="Daily",3,IF(C25="Weekly",2,IF(C25="Monthly",1,0)))+IF(E25="Yes",2,0)+IF(F25="Yes",2,0)+MIN(5,N(B25)))</f>
        <v/>
      </c>
      <c r="I25" s="21">
        <f>IF(H25="","",COUNTIF($H$4:$H$43,"&gt;"&amp;H25)+1)</f>
        <v/>
      </c>
      <c r="J25" s="17" t="n"/>
    </row>
    <row r="26">
      <c r="A26" s="17" t="n"/>
      <c r="B26" s="18" t="n"/>
      <c r="C26" s="19" t="n"/>
      <c r="D26" s="19" t="n"/>
      <c r="E26" s="19" t="n"/>
      <c r="F26" s="19" t="n"/>
      <c r="G26" s="19" t="n"/>
      <c r="H26" s="20">
        <f>IF(D26&lt;&gt;"Repeat","",IF(C26="Daily",3,IF(C26="Weekly",2,IF(C26="Monthly",1,0)))+IF(E26="Yes",2,0)+IF(F26="Yes",2,0)+MIN(5,N(B26)))</f>
        <v/>
      </c>
      <c r="I26" s="21">
        <f>IF(H26="","",COUNTIF($H$4:$H$43,"&gt;"&amp;H26)+1)</f>
        <v/>
      </c>
      <c r="J26" s="17" t="n"/>
    </row>
    <row r="27">
      <c r="A27" s="17" t="n"/>
      <c r="B27" s="18" t="n"/>
      <c r="C27" s="19" t="n"/>
      <c r="D27" s="19" t="n"/>
      <c r="E27" s="19" t="n"/>
      <c r="F27" s="19" t="n"/>
      <c r="G27" s="19" t="n"/>
      <c r="H27" s="20">
        <f>IF(D27&lt;&gt;"Repeat","",IF(C27="Daily",3,IF(C27="Weekly",2,IF(C27="Monthly",1,0)))+IF(E27="Yes",2,0)+IF(F27="Yes",2,0)+MIN(5,N(B27)))</f>
        <v/>
      </c>
      <c r="I27" s="21">
        <f>IF(H27="","",COUNTIF($H$4:$H$43,"&gt;"&amp;H27)+1)</f>
        <v/>
      </c>
      <c r="J27" s="17" t="n"/>
    </row>
    <row r="28">
      <c r="A28" s="17" t="n"/>
      <c r="B28" s="18" t="n"/>
      <c r="C28" s="19" t="n"/>
      <c r="D28" s="19" t="n"/>
      <c r="E28" s="19" t="n"/>
      <c r="F28" s="19" t="n"/>
      <c r="G28" s="19" t="n"/>
      <c r="H28" s="20">
        <f>IF(D28&lt;&gt;"Repeat","",IF(C28="Daily",3,IF(C28="Weekly",2,IF(C28="Monthly",1,0)))+IF(E28="Yes",2,0)+IF(F28="Yes",2,0)+MIN(5,N(B28)))</f>
        <v/>
      </c>
      <c r="I28" s="21">
        <f>IF(H28="","",COUNTIF($H$4:$H$43,"&gt;"&amp;H28)+1)</f>
        <v/>
      </c>
      <c r="J28" s="17" t="n"/>
    </row>
    <row r="29">
      <c r="A29" s="17" t="n"/>
      <c r="B29" s="18" t="n"/>
      <c r="C29" s="19" t="n"/>
      <c r="D29" s="19" t="n"/>
      <c r="E29" s="19" t="n"/>
      <c r="F29" s="19" t="n"/>
      <c r="G29" s="19" t="n"/>
      <c r="H29" s="20">
        <f>IF(D29&lt;&gt;"Repeat","",IF(C29="Daily",3,IF(C29="Weekly",2,IF(C29="Monthly",1,0)))+IF(E29="Yes",2,0)+IF(F29="Yes",2,0)+MIN(5,N(B29)))</f>
        <v/>
      </c>
      <c r="I29" s="21">
        <f>IF(H29="","",COUNTIF($H$4:$H$43,"&gt;"&amp;H29)+1)</f>
        <v/>
      </c>
      <c r="J29" s="17" t="n"/>
    </row>
    <row r="30">
      <c r="A30" s="17" t="n"/>
      <c r="B30" s="18" t="n"/>
      <c r="C30" s="19" t="n"/>
      <c r="D30" s="19" t="n"/>
      <c r="E30" s="19" t="n"/>
      <c r="F30" s="19" t="n"/>
      <c r="G30" s="19" t="n"/>
      <c r="H30" s="20">
        <f>IF(D30&lt;&gt;"Repeat","",IF(C30="Daily",3,IF(C30="Weekly",2,IF(C30="Monthly",1,0)))+IF(E30="Yes",2,0)+IF(F30="Yes",2,0)+MIN(5,N(B30)))</f>
        <v/>
      </c>
      <c r="I30" s="21">
        <f>IF(H30="","",COUNTIF($H$4:$H$43,"&gt;"&amp;H30)+1)</f>
        <v/>
      </c>
      <c r="J30" s="17" t="n"/>
    </row>
    <row r="31">
      <c r="A31" s="17" t="n"/>
      <c r="B31" s="18" t="n"/>
      <c r="C31" s="19" t="n"/>
      <c r="D31" s="19" t="n"/>
      <c r="E31" s="19" t="n"/>
      <c r="F31" s="19" t="n"/>
      <c r="G31" s="19" t="n"/>
      <c r="H31" s="20">
        <f>IF(D31&lt;&gt;"Repeat","",IF(C31="Daily",3,IF(C31="Weekly",2,IF(C31="Monthly",1,0)))+IF(E31="Yes",2,0)+IF(F31="Yes",2,0)+MIN(5,N(B31)))</f>
        <v/>
      </c>
      <c r="I31" s="21">
        <f>IF(H31="","",COUNTIF($H$4:$H$43,"&gt;"&amp;H31)+1)</f>
        <v/>
      </c>
      <c r="J31" s="17" t="n"/>
    </row>
    <row r="32">
      <c r="A32" s="17" t="n"/>
      <c r="B32" s="18" t="n"/>
      <c r="C32" s="19" t="n"/>
      <c r="D32" s="19" t="n"/>
      <c r="E32" s="19" t="n"/>
      <c r="F32" s="19" t="n"/>
      <c r="G32" s="19" t="n"/>
      <c r="H32" s="20">
        <f>IF(D32&lt;&gt;"Repeat","",IF(C32="Daily",3,IF(C32="Weekly",2,IF(C32="Monthly",1,0)))+IF(E32="Yes",2,0)+IF(F32="Yes",2,0)+MIN(5,N(B32)))</f>
        <v/>
      </c>
      <c r="I32" s="21">
        <f>IF(H32="","",COUNTIF($H$4:$H$43,"&gt;"&amp;H32)+1)</f>
        <v/>
      </c>
      <c r="J32" s="17" t="n"/>
    </row>
    <row r="33">
      <c r="A33" s="17" t="n"/>
      <c r="B33" s="18" t="n"/>
      <c r="C33" s="19" t="n"/>
      <c r="D33" s="19" t="n"/>
      <c r="E33" s="19" t="n"/>
      <c r="F33" s="19" t="n"/>
      <c r="G33" s="19" t="n"/>
      <c r="H33" s="20">
        <f>IF(D33&lt;&gt;"Repeat","",IF(C33="Daily",3,IF(C33="Weekly",2,IF(C33="Monthly",1,0)))+IF(E33="Yes",2,0)+IF(F33="Yes",2,0)+MIN(5,N(B33)))</f>
        <v/>
      </c>
      <c r="I33" s="21">
        <f>IF(H33="","",COUNTIF($H$4:$H$43,"&gt;"&amp;H33)+1)</f>
        <v/>
      </c>
      <c r="J33" s="17" t="n"/>
    </row>
    <row r="34">
      <c r="A34" s="17" t="n"/>
      <c r="B34" s="18" t="n"/>
      <c r="C34" s="19" t="n"/>
      <c r="D34" s="19" t="n"/>
      <c r="E34" s="19" t="n"/>
      <c r="F34" s="19" t="n"/>
      <c r="G34" s="19" t="n"/>
      <c r="H34" s="20">
        <f>IF(D34&lt;&gt;"Repeat","",IF(C34="Daily",3,IF(C34="Weekly",2,IF(C34="Monthly",1,0)))+IF(E34="Yes",2,0)+IF(F34="Yes",2,0)+MIN(5,N(B34)))</f>
        <v/>
      </c>
      <c r="I34" s="21">
        <f>IF(H34="","",COUNTIF($H$4:$H$43,"&gt;"&amp;H34)+1)</f>
        <v/>
      </c>
      <c r="J34" s="17" t="n"/>
    </row>
    <row r="35">
      <c r="A35" s="17" t="n"/>
      <c r="B35" s="18" t="n"/>
      <c r="C35" s="19" t="n"/>
      <c r="D35" s="19" t="n"/>
      <c r="E35" s="19" t="n"/>
      <c r="F35" s="19" t="n"/>
      <c r="G35" s="19" t="n"/>
      <c r="H35" s="20">
        <f>IF(D35&lt;&gt;"Repeat","",IF(C35="Daily",3,IF(C35="Weekly",2,IF(C35="Monthly",1,0)))+IF(E35="Yes",2,0)+IF(F35="Yes",2,0)+MIN(5,N(B35)))</f>
        <v/>
      </c>
      <c r="I35" s="21">
        <f>IF(H35="","",COUNTIF($H$4:$H$43,"&gt;"&amp;H35)+1)</f>
        <v/>
      </c>
      <c r="J35" s="17" t="n"/>
    </row>
    <row r="36">
      <c r="A36" s="17" t="n"/>
      <c r="B36" s="18" t="n"/>
      <c r="C36" s="19" t="n"/>
      <c r="D36" s="19" t="n"/>
      <c r="E36" s="19" t="n"/>
      <c r="F36" s="19" t="n"/>
      <c r="G36" s="19" t="n"/>
      <c r="H36" s="20">
        <f>IF(D36&lt;&gt;"Repeat","",IF(C36="Daily",3,IF(C36="Weekly",2,IF(C36="Monthly",1,0)))+IF(E36="Yes",2,0)+IF(F36="Yes",2,0)+MIN(5,N(B36)))</f>
        <v/>
      </c>
      <c r="I36" s="21">
        <f>IF(H36="","",COUNTIF($H$4:$H$43,"&gt;"&amp;H36)+1)</f>
        <v/>
      </c>
      <c r="J36" s="17" t="n"/>
    </row>
    <row r="37">
      <c r="A37" s="17" t="n"/>
      <c r="B37" s="18" t="n"/>
      <c r="C37" s="19" t="n"/>
      <c r="D37" s="19" t="n"/>
      <c r="E37" s="19" t="n"/>
      <c r="F37" s="19" t="n"/>
      <c r="G37" s="19" t="n"/>
      <c r="H37" s="20">
        <f>IF(D37&lt;&gt;"Repeat","",IF(C37="Daily",3,IF(C37="Weekly",2,IF(C37="Monthly",1,0)))+IF(E37="Yes",2,0)+IF(F37="Yes",2,0)+MIN(5,N(B37)))</f>
        <v/>
      </c>
      <c r="I37" s="21">
        <f>IF(H37="","",COUNTIF($H$4:$H$43,"&gt;"&amp;H37)+1)</f>
        <v/>
      </c>
      <c r="J37" s="17" t="n"/>
    </row>
    <row r="38">
      <c r="A38" s="17" t="n"/>
      <c r="B38" s="18" t="n"/>
      <c r="C38" s="19" t="n"/>
      <c r="D38" s="19" t="n"/>
      <c r="E38" s="19" t="n"/>
      <c r="F38" s="19" t="n"/>
      <c r="G38" s="19" t="n"/>
      <c r="H38" s="20">
        <f>IF(D38&lt;&gt;"Repeat","",IF(C38="Daily",3,IF(C38="Weekly",2,IF(C38="Monthly",1,0)))+IF(E38="Yes",2,0)+IF(F38="Yes",2,0)+MIN(5,N(B38)))</f>
        <v/>
      </c>
      <c r="I38" s="21">
        <f>IF(H38="","",COUNTIF($H$4:$H$43,"&gt;"&amp;H38)+1)</f>
        <v/>
      </c>
      <c r="J38" s="17" t="n"/>
    </row>
    <row r="39">
      <c r="A39" s="17" t="n"/>
      <c r="B39" s="18" t="n"/>
      <c r="C39" s="19" t="n"/>
      <c r="D39" s="19" t="n"/>
      <c r="E39" s="19" t="n"/>
      <c r="F39" s="19" t="n"/>
      <c r="G39" s="19" t="n"/>
      <c r="H39" s="20">
        <f>IF(D39&lt;&gt;"Repeat","",IF(C39="Daily",3,IF(C39="Weekly",2,IF(C39="Monthly",1,0)))+IF(E39="Yes",2,0)+IF(F39="Yes",2,0)+MIN(5,N(B39)))</f>
        <v/>
      </c>
      <c r="I39" s="21">
        <f>IF(H39="","",COUNTIF($H$4:$H$43,"&gt;"&amp;H39)+1)</f>
        <v/>
      </c>
      <c r="J39" s="17" t="n"/>
    </row>
    <row r="40">
      <c r="A40" s="17" t="n"/>
      <c r="B40" s="18" t="n"/>
      <c r="C40" s="19" t="n"/>
      <c r="D40" s="19" t="n"/>
      <c r="E40" s="19" t="n"/>
      <c r="F40" s="19" t="n"/>
      <c r="G40" s="19" t="n"/>
      <c r="H40" s="20">
        <f>IF(D40&lt;&gt;"Repeat","",IF(C40="Daily",3,IF(C40="Weekly",2,IF(C40="Monthly",1,0)))+IF(E40="Yes",2,0)+IF(F40="Yes",2,0)+MIN(5,N(B40)))</f>
        <v/>
      </c>
      <c r="I40" s="21">
        <f>IF(H40="","",COUNTIF($H$4:$H$43,"&gt;"&amp;H40)+1)</f>
        <v/>
      </c>
      <c r="J40" s="17" t="n"/>
    </row>
    <row r="41">
      <c r="A41" s="17" t="n"/>
      <c r="B41" s="18" t="n"/>
      <c r="C41" s="19" t="n"/>
      <c r="D41" s="19" t="n"/>
      <c r="E41" s="19" t="n"/>
      <c r="F41" s="19" t="n"/>
      <c r="G41" s="19" t="n"/>
      <c r="H41" s="20">
        <f>IF(D41&lt;&gt;"Repeat","",IF(C41="Daily",3,IF(C41="Weekly",2,IF(C41="Monthly",1,0)))+IF(E41="Yes",2,0)+IF(F41="Yes",2,0)+MIN(5,N(B41)))</f>
        <v/>
      </c>
      <c r="I41" s="21">
        <f>IF(H41="","",COUNTIF($H$4:$H$43,"&gt;"&amp;H41)+1)</f>
        <v/>
      </c>
      <c r="J41" s="17" t="n"/>
    </row>
    <row r="42">
      <c r="A42" s="17" t="n"/>
      <c r="B42" s="18" t="n"/>
      <c r="C42" s="19" t="n"/>
      <c r="D42" s="19" t="n"/>
      <c r="E42" s="19" t="n"/>
      <c r="F42" s="19" t="n"/>
      <c r="G42" s="19" t="n"/>
      <c r="H42" s="20">
        <f>IF(D42&lt;&gt;"Repeat","",IF(C42="Daily",3,IF(C42="Weekly",2,IF(C42="Monthly",1,0)))+IF(E42="Yes",2,0)+IF(F42="Yes",2,0)+MIN(5,N(B42)))</f>
        <v/>
      </c>
      <c r="I42" s="21">
        <f>IF(H42="","",COUNTIF($H$4:$H$43,"&gt;"&amp;H42)+1)</f>
        <v/>
      </c>
      <c r="J42" s="17" t="n"/>
    </row>
    <row r="43">
      <c r="A43" s="17" t="n"/>
      <c r="B43" s="18" t="n"/>
      <c r="C43" s="19" t="n"/>
      <c r="D43" s="19" t="n"/>
      <c r="E43" s="19" t="n"/>
      <c r="F43" s="19" t="n"/>
      <c r="G43" s="19" t="n"/>
      <c r="H43" s="20">
        <f>IF(D43&lt;&gt;"Repeat","",IF(C43="Daily",3,IF(C43="Weekly",2,IF(C43="Monthly",1,0)))+IF(E43="Yes",2,0)+IF(F43="Yes",2,0)+MIN(5,N(B43)))</f>
        <v/>
      </c>
      <c r="I43" s="21">
        <f>IF(H43="","",COUNTIF($H$4:$H$43,"&gt;"&amp;H43)+1)</f>
        <v/>
      </c>
      <c r="J43" s="17" t="n"/>
    </row>
  </sheetData>
  <autoFilter ref="A3:J43"/>
  <conditionalFormatting sqref="D4:D43">
    <cfRule type="expression" priority="1" dxfId="0" stopIfTrue="0">
      <formula>D4="Waste"</formula>
    </cfRule>
    <cfRule type="expression" priority="2" dxfId="1" stopIfTrue="0">
      <formula>D4="Only me"</formula>
    </cfRule>
  </conditionalFormatting>
  <conditionalFormatting sqref="A4:A43 H4:H43 I4:I43">
    <cfRule type="expression" priority="3" dxfId="2" stopIfTrue="0">
      <formula>AND(ISNUMBER(I4),I4=1)</formula>
    </cfRule>
  </conditionalFormatting>
  <dataValidations count="5">
    <dataValidation sqref="C4:C43" showDropDown="0" showInputMessage="0" showErrorMessage="0" allowBlank="1" type="list">
      <formula1>"Daily,Weekly,Monthly,Once"</formula1>
    </dataValidation>
    <dataValidation sqref="D4:D43" showDropDown="0" showInputMessage="0" showErrorMessage="0" allowBlank="1" type="list">
      <formula1>"Only me,Repeat,Waste"</formula1>
    </dataValidation>
    <dataValidation sqref="E4:E43" showDropDown="0" showInputMessage="0" showErrorMessage="0" allowBlank="1" type="list">
      <formula1>"Yes,No"</formula1>
    </dataValidation>
    <dataValidation sqref="F4:F43" showDropDown="0" showInputMessage="0" showErrorMessage="0" allowBlank="1" type="list">
      <formula1>"Yes,No"</formula1>
    </dataValidation>
    <dataValidation sqref="G4:G43" showDropDown="0" showInputMessage="0" showErrorMessage="0" allowBlank="1" type="list">
      <formula1>"Saved reply or template,Automation,AI tool,Freelancer,Friend or family,Keep doing it,Cut it"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20"/>
  <sheetViews>
    <sheetView showGridLines="0" tabSelected="0" workbookViewId="0">
      <selection activeCell="A1" sqref="A1"/>
    </sheetView>
  </sheetViews>
  <sheetFormatPr baseColWidth="8" defaultRowHeight="15"/>
  <cols>
    <col width="52" customWidth="1" min="1" max="1"/>
    <col width="60" customWidth="1" min="2" max="2"/>
  </cols>
  <sheetData>
    <row r="1" ht="26" customHeight="1">
      <c r="A1" s="13" t="inlineStr">
        <is>
          <t>Where your week went</t>
        </is>
      </c>
    </row>
    <row r="2">
      <c r="A2" s="14" t="inlineStr">
        <is>
          <t>Work on the business, not in it.</t>
        </is>
      </c>
    </row>
    <row r="4">
      <c r="A4" s="1" t="inlineStr">
        <is>
          <t>LAST WEEK</t>
        </is>
      </c>
    </row>
    <row r="5">
      <c r="A5" s="22" t="inlineStr">
        <is>
          <t>Total hours on the business</t>
        </is>
      </c>
      <c r="B5" s="23">
        <f>SUM('Audit'!$B$4:$B$43)</f>
        <v/>
      </c>
    </row>
    <row r="6">
      <c r="A6" s="22" t="inlineStr">
        <is>
          <t>Only me</t>
        </is>
      </c>
      <c r="B6" s="23">
        <f>SUMIF('Audit'!$D$4:$D$43,"Only me",'Audit'!$B$4:$B$43)</f>
        <v/>
      </c>
    </row>
    <row r="7">
      <c r="A7" s="22" t="inlineStr">
        <is>
          <t>Repeat</t>
        </is>
      </c>
      <c r="B7" s="23">
        <f>SUMIF('Audit'!$D$4:$D$43,"Repeat",'Audit'!$B$4:$B$43)</f>
        <v/>
      </c>
    </row>
    <row r="8">
      <c r="A8" s="22" t="inlineStr">
        <is>
          <t>Waste</t>
        </is>
      </c>
      <c r="B8" s="23">
        <f>SUMIF('Audit'!$D$4:$D$43,"Waste",'Audit'!$B$4:$B$43)</f>
        <v/>
      </c>
    </row>
    <row r="9">
      <c r="A9" s="22" t="inlineStr">
        <is>
          <t>Share of your week on repeat work</t>
        </is>
      </c>
      <c r="B9" s="24">
        <f>IF($B$5=0,"",$B$7/$B$5)</f>
        <v/>
      </c>
    </row>
    <row r="10">
      <c r="A10" s="25" t="inlineStr">
        <is>
          <t>Hours you get back by cutting waste</t>
        </is>
      </c>
      <c r="B10" s="26">
        <f>$B$8</f>
        <v/>
      </c>
    </row>
    <row r="12">
      <c r="A12" s="1" t="inlineStr">
        <is>
          <t>YOUR FIRST HANDOFF</t>
        </is>
      </c>
    </row>
    <row r="13">
      <c r="A13" s="25" t="inlineStr">
        <is>
          <t>Best first task to hand off</t>
        </is>
      </c>
      <c r="B13" s="27">
        <f>IF(COUNT('Audit'!$H$4:$H$43)=0,"Tag some tasks as Repeat first",INDEX('Audit'!$A$4:$A$43,MATCH(MAX('Audit'!$H$4:$H$43),'Audit'!$H$4:$H$43,0)))</f>
        <v/>
      </c>
    </row>
    <row r="14">
      <c r="A14" s="22" t="inlineStr">
        <is>
          <t>Hours a week it frees</t>
        </is>
      </c>
      <c r="B14" s="23">
        <f>IF(COUNT('Audit'!$H$4:$H$43)=0,"",INDEX('Audit'!$B$4:$B$43,MATCH(MAX('Audit'!$H$4:$H$43),'Audit'!$H$4:$H$43,0)))</f>
        <v/>
      </c>
    </row>
    <row r="15">
      <c r="A15" s="22" t="inlineStr">
        <is>
          <t>Who or what will run it</t>
        </is>
      </c>
      <c r="B15" s="28">
        <f>IF(COUNT('Audit'!$H$4:$H$43)=0,"",INDEX('Audit'!$G$4:$G$43,MATCH(MAX('Audit'!$H$4:$H$43),'Audit'!$H$4:$H$43,0)))</f>
        <v/>
      </c>
    </row>
    <row r="16" ht="44" customHeight="1">
      <c r="A16" s="22" t="inlineStr">
        <is>
          <t>Your pick, and why this one</t>
        </is>
      </c>
      <c r="B16" s="17" t="inlineStr">
        <is>
          <t>DM replies. Two hours a week, same answers every time, and a slow reply never loses a customer.</t>
        </is>
      </c>
    </row>
    <row r="17">
      <c r="A17" s="22" t="inlineStr">
        <is>
          <t>Link to its One-Page SOP</t>
        </is>
      </c>
      <c r="B17" s="17" t="n"/>
    </row>
    <row r="19">
      <c r="A19" s="1" t="inlineStr">
        <is>
          <t>YOUR BIGGEST BOTTLENECK</t>
        </is>
      </c>
    </row>
    <row r="20" ht="44" customHeight="1">
      <c r="A20" s="22" t="inlineStr">
        <is>
          <t>If one thing disappeared, what would grow fastest?</t>
        </is>
      </c>
      <c r="B20" s="17" t="inlineStr">
        <is>
          <t>Scheduling pickups. Every booking takes 4 texts. A booking link fixes it.</t>
        </is>
      </c>
    </row>
  </sheetData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127</dc:creator>
  <dc:title xmlns:dc="http://purl.org/dc/elements/1.1/">Hours Audit</dc:title>
  <dcterms:created xmlns:dcterms="http://purl.org/dc/terms/" xmlns:xsi="http://www.w3.org/2001/XMLSchema-instance" xsi:type="dcterms:W3CDTF">2026-10-20T03:16:30Z</dcterms:created>
  <dcterms:modified xmlns:dcterms="http://purl.org/dc/terms/" xmlns:xsi="http://www.w3.org/2001/XMLSchema-instance" xsi:type="dcterms:W3CDTF">2026-10-20T03:16:30Z</dcterms:modified>
</cp:coreProperties>
</file>