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racker" sheetId="2" state="visible" r:id="rId2"/>
    <sheet xmlns:r="http://schemas.openxmlformats.org/officeDocument/2006/relationships" name="Progress" sheetId="3" state="visible" r:id="rId3"/>
  </sheets>
  <definedNames>
    <definedName name="_xlnm._FilterDatabase" localSheetId="1" hidden="1">'Tracker'!$A$3:$O$43</definedName>
    <definedName name="_xlnm.Print_Titles" localSheetId="1">'Tracker'!$3:$3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d, mmm d"/>
    <numFmt numFmtId="165" formatCode="#,##0.0"/>
  </numFmts>
  <fonts count="14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b val="1"/>
      <color rgb="001B1B20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  <font>
      <name val="Arial"/>
      <color rgb="003A3A44"/>
      <sz val="10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ECEEFB"/>
        <bgColor rgb="00ECEEFB"/>
      </patternFill>
    </fill>
    <fill>
      <patternFill patternType="solid">
        <fgColor rgb="00060607"/>
        <bgColor rgb="00060607"/>
      </patternFill>
    </fill>
    <fill>
      <patternFill patternType="solid">
        <fgColor rgb="002B2B33"/>
        <bgColor rgb="002B2B33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12" fillId="6" borderId="2" applyAlignment="1" pivotButton="0" quotePrefix="0" xfId="0">
      <alignment horizontal="left" vertical="center" wrapText="1"/>
    </xf>
    <xf numFmtId="0" fontId="5" fillId="2" borderId="1" applyAlignment="1" pivotButton="0" quotePrefix="0" xfId="0">
      <alignment vertical="top"/>
    </xf>
    <xf numFmtId="164" fontId="5" fillId="2" borderId="1" applyAlignment="1" pivotButton="0" quotePrefix="0" xfId="0">
      <alignment vertical="top"/>
    </xf>
    <xf numFmtId="164" fontId="13" fillId="3" borderId="1" applyAlignment="1" pivotButton="0" quotePrefix="0" xfId="0">
      <alignment vertical="top"/>
    </xf>
    <xf numFmtId="0" fontId="5" fillId="2" borderId="1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3" fontId="5" fillId="3" borderId="1" applyAlignment="1" pivotButton="0" quotePrefix="0" xfId="0">
      <alignment vertical="top" wrapText="1"/>
    </xf>
    <xf numFmtId="0" fontId="8" fillId="0" borderId="3" applyAlignment="1" pivotButton="0" quotePrefix="0" xfId="0">
      <alignment vertical="top" wrapText="1"/>
    </xf>
    <xf numFmtId="3" fontId="8" fillId="4" borderId="1" applyAlignment="1" pivotButton="0" quotePrefix="0" xfId="0">
      <alignment vertical="top" wrapText="1"/>
    </xf>
    <xf numFmtId="9" fontId="5" fillId="3" borderId="1" applyAlignment="1" pivotButton="0" quotePrefix="0" xfId="0">
      <alignment vertical="top" wrapText="1"/>
    </xf>
    <xf numFmtId="165" fontId="5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Arial"/>
        <b val="1"/>
      </font>
      <fill>
        <patternFill patternType="solid">
          <fgColor rgb="00DDF3E7"/>
          <bgColor rgb="00DDF3E7"/>
        </patternFill>
      </fill>
    </dxf>
    <dxf>
      <fill>
        <patternFill patternType="solid">
          <fgColor rgb="00ECEEFB"/>
          <bgColor rgb="00ECEEFB"/>
        </patternFill>
      </fill>
    </dxf>
    <dxf>
      <font>
        <name val="Arial"/>
        <b val="1"/>
      </font>
      <fill>
        <patternFill patternType="solid">
          <fgColor rgb="00FFF3D6"/>
          <bgColor rgb="00FFF3D6"/>
        </patternFill>
      </fill>
    </dxf>
    <dxf>
      <fill>
        <patternFill patternType="solid">
          <fgColor rgb="00DDF3E7"/>
          <bgColor rgb="00DDF3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8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START TRACK  ·  FREE</t>
        </is>
      </c>
    </row>
    <row r="3" ht="34" customHeight="1">
      <c r="B3" s="2" t="inlineStr">
        <is>
          <t>Conversation Tracker</t>
        </is>
      </c>
    </row>
    <row r="4" ht="30" customHeight="1">
      <c r="B4" s="3" t="inlineStr">
        <is>
          <t>Track the 20 people you message and every conversation you have, with follow-up dates and the facts that matter from each call.</t>
        </is>
      </c>
    </row>
    <row r="6">
      <c r="B6" s="1" t="inlineStr">
        <is>
          <t>HOW TO USE IT</t>
        </is>
      </c>
    </row>
    <row r="7" ht="16" customHeight="1">
      <c r="B7" s="4" t="inlineStr">
        <is>
          <t>1.  List 20 people who have the problem. Message 20 to get 10 conversations.</t>
        </is>
      </c>
    </row>
    <row r="8" ht="32" customHeight="1">
      <c r="B8" s="4" t="inlineStr">
        <is>
          <t>2.  Pick where you found each one. Mix sources: DMs, Reddit, campus, family friends, local businesses.</t>
        </is>
      </c>
    </row>
    <row r="9" ht="16" customHeight="1">
      <c r="B9" s="4" t="inlineStr">
        <is>
          <t>3.  Log the date you message them. The sheet sets a polite follow-up date three days later.</t>
        </is>
      </c>
    </row>
    <row r="10" ht="16" customHeight="1">
      <c r="B10" s="4" t="inlineStr">
        <is>
          <t>4.  Update Status as you go. Booked and Interviewed rows count toward your goal of 10.</t>
        </is>
      </c>
    </row>
    <row r="11" ht="32" customHeight="1">
      <c r="B11" s="4" t="inlineStr">
        <is>
          <t>5.  Right after each call, fill the grey-free columns: how they solve it today, what they pay, pain, and one exact quote.</t>
        </is>
      </c>
    </row>
    <row r="12" ht="16" customHeight="1">
      <c r="B12" s="4" t="inlineStr">
        <is>
          <t>6.  Ask everyone: who else do you know who deals with this? Log referrals as new rows.</t>
        </is>
      </c>
    </row>
    <row r="13" ht="16" customHeight="1">
      <c r="B13" s="4" t="inlineStr">
        <is>
          <t>7.  At 10 interviews, move to the Interview Synthesis sheet to make the call.</t>
        </is>
      </c>
    </row>
    <row r="15">
      <c r="B15" s="1" t="inlineStr">
        <is>
          <t>CELL COLORS</t>
        </is>
      </c>
    </row>
    <row r="16">
      <c r="B16" s="5" t="inlineStr">
        <is>
          <t>White cells: you type here.</t>
        </is>
      </c>
    </row>
    <row r="17">
      <c r="B17" s="6" t="inlineStr">
        <is>
          <t>Grey cells: calculated for you. Leave them alone.</t>
        </is>
      </c>
    </row>
    <row r="18">
      <c r="B18" s="7" t="inlineStr">
        <is>
          <t>Lilac cells: the answer you came for.</t>
        </is>
      </c>
    </row>
    <row r="20">
      <c r="B20" s="1" t="inlineStr">
        <is>
          <t>OPEN IT ANYWHERE</t>
        </is>
      </c>
    </row>
    <row r="21" ht="30" customHeight="1">
      <c r="B21" s="8" t="inlineStr">
        <is>
          <t>Google Sheets: go to sheets.new, then File &gt; Import &gt; Upload this file &gt; Replace spreadsheet. Formulas and dropdowns come with it.</t>
        </is>
      </c>
    </row>
    <row r="22" ht="15" customHeight="1">
      <c r="B22" s="8" t="inlineStr">
        <is>
          <t>Excel: double-click the file. Numbers on a Mac: open it with Numbers.</t>
        </is>
      </c>
    </row>
    <row r="23" ht="15" customHeight="1">
      <c r="B23" s="8" t="inlineStr">
        <is>
          <t>Phone: upload it to Google Drive, then open it in the Google Sheets app.</t>
        </is>
      </c>
    </row>
    <row r="25" ht="15" customHeight="1">
      <c r="B25" s="9" t="inlineStr">
        <is>
          <t>Ask about the past, never pitch. Compliments are not proof. Money, time and effort are.</t>
        </is>
      </c>
    </row>
    <row r="27">
      <c r="B27" s="10" t="inlineStr">
        <is>
          <t>Make today day one.  ·  127group.io</t>
        </is>
      </c>
    </row>
    <row r="28">
      <c r="B28" s="11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tabSelected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11" customWidth="1" min="4" max="4"/>
    <col width="12" customWidth="1" min="5" max="5"/>
    <col width="13" customWidth="1" min="6" max="6"/>
    <col width="12" customWidth="1" min="7" max="7"/>
    <col width="12" customWidth="1" min="8" max="8"/>
    <col width="28" customWidth="1" min="9" max="9"/>
    <col width="11" customWidth="1" min="10" max="10"/>
    <col width="22" customWidth="1" min="11" max="11"/>
    <col width="9" customWidth="1" min="12" max="12"/>
    <col width="32" customWidth="1" min="13" max="13"/>
    <col width="18" customWidth="1" min="14" max="14"/>
    <col width="11" customWidth="1" min="15" max="15"/>
  </cols>
  <sheetData>
    <row r="1" ht="26" customHeight="1">
      <c r="A1" s="12" t="inlineStr">
        <is>
          <t>Conversation Tracker</t>
        </is>
      </c>
    </row>
    <row r="2" ht="16" customHeight="1">
      <c r="A2" s="13" t="inlineStr">
        <is>
          <t>Goal: 10 real conversations. Message about 20 people to get there.</t>
        </is>
      </c>
    </row>
    <row r="3" ht="40" customHeight="1">
      <c r="A3" s="14" t="inlineStr">
        <is>
          <t>#</t>
        </is>
      </c>
      <c r="B3" s="14" t="inlineStr">
        <is>
          <t>Name or handle</t>
        </is>
      </c>
      <c r="C3" s="14" t="inlineStr">
        <is>
          <t>Where you found them</t>
        </is>
      </c>
      <c r="D3" s="14" t="inlineStr">
        <is>
          <t>Has the problem now?</t>
        </is>
      </c>
      <c r="E3" s="14" t="inlineStr">
        <is>
          <t>Date messaged</t>
        </is>
      </c>
      <c r="F3" s="14" t="inlineStr">
        <is>
          <t>Status</t>
        </is>
      </c>
      <c r="G3" s="15" t="inlineStr">
        <is>
          <t>Follow up on</t>
        </is>
      </c>
      <c r="H3" s="14" t="inlineStr">
        <is>
          <t>Interview date</t>
        </is>
      </c>
      <c r="I3" s="14" t="inlineStr">
        <is>
          <t>How they solve it today</t>
        </is>
      </c>
      <c r="J3" s="14" t="inlineStr">
        <is>
          <t>Pays for a fix today?</t>
        </is>
      </c>
      <c r="K3" s="14" t="inlineStr">
        <is>
          <t>What it costs them (money, time)</t>
        </is>
      </c>
      <c r="L3" s="14" t="inlineStr">
        <is>
          <t>Pain (1-5, your call)</t>
        </is>
      </c>
      <c r="M3" s="14" t="inlineStr">
        <is>
          <t>Exact quote worth stealing</t>
        </is>
      </c>
      <c r="N3" s="14" t="inlineStr">
        <is>
          <t>Referrals they gave</t>
        </is>
      </c>
      <c r="O3" s="14" t="inlineStr">
        <is>
          <t>OK to follow up later?</t>
        </is>
      </c>
    </row>
    <row r="4">
      <c r="A4" s="16" t="n">
        <v>1</v>
      </c>
      <c r="B4" s="16" t="n"/>
      <c r="C4" s="16" t="n"/>
      <c r="D4" s="16" t="n"/>
      <c r="E4" s="17" t="n"/>
      <c r="F4" s="16" t="n"/>
      <c r="G4" s="18">
        <f>IF(AND(F4="Messaged",ISNUMBER(E4)),E4+3,"")</f>
        <v/>
      </c>
      <c r="H4" s="17" t="n"/>
      <c r="I4" s="19" t="n"/>
      <c r="J4" s="16" t="n"/>
      <c r="K4" s="16" t="n"/>
      <c r="L4" s="16" t="n"/>
      <c r="M4" s="19" t="n"/>
      <c r="N4" s="16" t="n"/>
      <c r="O4" s="16" t="n"/>
    </row>
    <row r="5">
      <c r="A5" s="16" t="n">
        <v>2</v>
      </c>
      <c r="B5" s="16" t="n"/>
      <c r="C5" s="16" t="n"/>
      <c r="D5" s="16" t="n"/>
      <c r="E5" s="17" t="n"/>
      <c r="F5" s="16" t="n"/>
      <c r="G5" s="18">
        <f>IF(AND(F5="Messaged",ISNUMBER(E5)),E5+3,"")</f>
        <v/>
      </c>
      <c r="H5" s="17" t="n"/>
      <c r="I5" s="19" t="n"/>
      <c r="J5" s="16" t="n"/>
      <c r="K5" s="16" t="n"/>
      <c r="L5" s="16" t="n"/>
      <c r="M5" s="19" t="n"/>
      <c r="N5" s="16" t="n"/>
      <c r="O5" s="16" t="n"/>
    </row>
    <row r="6">
      <c r="A6" s="16" t="n">
        <v>3</v>
      </c>
      <c r="B6" s="16" t="n"/>
      <c r="C6" s="16" t="n"/>
      <c r="D6" s="16" t="n"/>
      <c r="E6" s="17" t="n"/>
      <c r="F6" s="16" t="n"/>
      <c r="G6" s="18">
        <f>IF(AND(F6="Messaged",ISNUMBER(E6)),E6+3,"")</f>
        <v/>
      </c>
      <c r="H6" s="17" t="n"/>
      <c r="I6" s="19" t="n"/>
      <c r="J6" s="16" t="n"/>
      <c r="K6" s="16" t="n"/>
      <c r="L6" s="16" t="n"/>
      <c r="M6" s="19" t="n"/>
      <c r="N6" s="16" t="n"/>
      <c r="O6" s="16" t="n"/>
    </row>
    <row r="7">
      <c r="A7" s="16" t="n">
        <v>4</v>
      </c>
      <c r="B7" s="16" t="n"/>
      <c r="C7" s="16" t="n"/>
      <c r="D7" s="16" t="n"/>
      <c r="E7" s="17" t="n"/>
      <c r="F7" s="16" t="n"/>
      <c r="G7" s="18">
        <f>IF(AND(F7="Messaged",ISNUMBER(E7)),E7+3,"")</f>
        <v/>
      </c>
      <c r="H7" s="17" t="n"/>
      <c r="I7" s="19" t="n"/>
      <c r="J7" s="16" t="n"/>
      <c r="K7" s="16" t="n"/>
      <c r="L7" s="16" t="n"/>
      <c r="M7" s="19" t="n"/>
      <c r="N7" s="16" t="n"/>
      <c r="O7" s="16" t="n"/>
    </row>
    <row r="8">
      <c r="A8" s="16" t="n">
        <v>5</v>
      </c>
      <c r="B8" s="16" t="n"/>
      <c r="C8" s="16" t="n"/>
      <c r="D8" s="16" t="n"/>
      <c r="E8" s="17" t="n"/>
      <c r="F8" s="16" t="n"/>
      <c r="G8" s="18">
        <f>IF(AND(F8="Messaged",ISNUMBER(E8)),E8+3,"")</f>
        <v/>
      </c>
      <c r="H8" s="17" t="n"/>
      <c r="I8" s="19" t="n"/>
      <c r="J8" s="16" t="n"/>
      <c r="K8" s="16" t="n"/>
      <c r="L8" s="16" t="n"/>
      <c r="M8" s="19" t="n"/>
      <c r="N8" s="16" t="n"/>
      <c r="O8" s="16" t="n"/>
    </row>
    <row r="9">
      <c r="A9" s="16" t="n">
        <v>6</v>
      </c>
      <c r="B9" s="16" t="n"/>
      <c r="C9" s="16" t="n"/>
      <c r="D9" s="16" t="n"/>
      <c r="E9" s="17" t="n"/>
      <c r="F9" s="16" t="n"/>
      <c r="G9" s="18">
        <f>IF(AND(F9="Messaged",ISNUMBER(E9)),E9+3,"")</f>
        <v/>
      </c>
      <c r="H9" s="17" t="n"/>
      <c r="I9" s="19" t="n"/>
      <c r="J9" s="16" t="n"/>
      <c r="K9" s="16" t="n"/>
      <c r="L9" s="16" t="n"/>
      <c r="M9" s="19" t="n"/>
      <c r="N9" s="16" t="n"/>
      <c r="O9" s="16" t="n"/>
    </row>
    <row r="10">
      <c r="A10" s="16" t="n">
        <v>7</v>
      </c>
      <c r="B10" s="16" t="n"/>
      <c r="C10" s="16" t="n"/>
      <c r="D10" s="16" t="n"/>
      <c r="E10" s="17" t="n"/>
      <c r="F10" s="16" t="n"/>
      <c r="G10" s="18">
        <f>IF(AND(F10="Messaged",ISNUMBER(E10)),E10+3,"")</f>
        <v/>
      </c>
      <c r="H10" s="17" t="n"/>
      <c r="I10" s="19" t="n"/>
      <c r="J10" s="16" t="n"/>
      <c r="K10" s="16" t="n"/>
      <c r="L10" s="16" t="n"/>
      <c r="M10" s="19" t="n"/>
      <c r="N10" s="16" t="n"/>
      <c r="O10" s="16" t="n"/>
    </row>
    <row r="11">
      <c r="A11" s="16" t="n">
        <v>8</v>
      </c>
      <c r="B11" s="16" t="n"/>
      <c r="C11" s="16" t="n"/>
      <c r="D11" s="16" t="n"/>
      <c r="E11" s="17" t="n"/>
      <c r="F11" s="16" t="n"/>
      <c r="G11" s="18">
        <f>IF(AND(F11="Messaged",ISNUMBER(E11)),E11+3,"")</f>
        <v/>
      </c>
      <c r="H11" s="17" t="n"/>
      <c r="I11" s="19" t="n"/>
      <c r="J11" s="16" t="n"/>
      <c r="K11" s="16" t="n"/>
      <c r="L11" s="16" t="n"/>
      <c r="M11" s="19" t="n"/>
      <c r="N11" s="16" t="n"/>
      <c r="O11" s="16" t="n"/>
    </row>
    <row r="12">
      <c r="A12" s="16" t="n">
        <v>9</v>
      </c>
      <c r="B12" s="16" t="n"/>
      <c r="C12" s="16" t="n"/>
      <c r="D12" s="16" t="n"/>
      <c r="E12" s="17" t="n"/>
      <c r="F12" s="16" t="n"/>
      <c r="G12" s="18">
        <f>IF(AND(F12="Messaged",ISNUMBER(E12)),E12+3,"")</f>
        <v/>
      </c>
      <c r="H12" s="17" t="n"/>
      <c r="I12" s="19" t="n"/>
      <c r="J12" s="16" t="n"/>
      <c r="K12" s="16" t="n"/>
      <c r="L12" s="16" t="n"/>
      <c r="M12" s="19" t="n"/>
      <c r="N12" s="16" t="n"/>
      <c r="O12" s="16" t="n"/>
    </row>
    <row r="13">
      <c r="A13" s="16" t="n">
        <v>10</v>
      </c>
      <c r="B13" s="16" t="n"/>
      <c r="C13" s="16" t="n"/>
      <c r="D13" s="16" t="n"/>
      <c r="E13" s="17" t="n"/>
      <c r="F13" s="16" t="n"/>
      <c r="G13" s="18">
        <f>IF(AND(F13="Messaged",ISNUMBER(E13)),E13+3,"")</f>
        <v/>
      </c>
      <c r="H13" s="17" t="n"/>
      <c r="I13" s="19" t="n"/>
      <c r="J13" s="16" t="n"/>
      <c r="K13" s="16" t="n"/>
      <c r="L13" s="16" t="n"/>
      <c r="M13" s="19" t="n"/>
      <c r="N13" s="16" t="n"/>
      <c r="O13" s="16" t="n"/>
    </row>
    <row r="14">
      <c r="A14" s="16" t="n">
        <v>11</v>
      </c>
      <c r="B14" s="16" t="n"/>
      <c r="C14" s="16" t="n"/>
      <c r="D14" s="16" t="n"/>
      <c r="E14" s="17" t="n"/>
      <c r="F14" s="16" t="n"/>
      <c r="G14" s="18">
        <f>IF(AND(F14="Messaged",ISNUMBER(E14)),E14+3,"")</f>
        <v/>
      </c>
      <c r="H14" s="17" t="n"/>
      <c r="I14" s="19" t="n"/>
      <c r="J14" s="16" t="n"/>
      <c r="K14" s="16" t="n"/>
      <c r="L14" s="16" t="n"/>
      <c r="M14" s="19" t="n"/>
      <c r="N14" s="16" t="n"/>
      <c r="O14" s="16" t="n"/>
    </row>
    <row r="15">
      <c r="A15" s="16" t="n">
        <v>12</v>
      </c>
      <c r="B15" s="16" t="n"/>
      <c r="C15" s="16" t="n"/>
      <c r="D15" s="16" t="n"/>
      <c r="E15" s="17" t="n"/>
      <c r="F15" s="16" t="n"/>
      <c r="G15" s="18">
        <f>IF(AND(F15="Messaged",ISNUMBER(E15)),E15+3,"")</f>
        <v/>
      </c>
      <c r="H15" s="17" t="n"/>
      <c r="I15" s="19" t="n"/>
      <c r="J15" s="16" t="n"/>
      <c r="K15" s="16" t="n"/>
      <c r="L15" s="16" t="n"/>
      <c r="M15" s="19" t="n"/>
      <c r="N15" s="16" t="n"/>
      <c r="O15" s="16" t="n"/>
    </row>
    <row r="16">
      <c r="A16" s="16" t="n">
        <v>13</v>
      </c>
      <c r="B16" s="16" t="n"/>
      <c r="C16" s="16" t="n"/>
      <c r="D16" s="16" t="n"/>
      <c r="E16" s="17" t="n"/>
      <c r="F16" s="16" t="n"/>
      <c r="G16" s="18">
        <f>IF(AND(F16="Messaged",ISNUMBER(E16)),E16+3,"")</f>
        <v/>
      </c>
      <c r="H16" s="17" t="n"/>
      <c r="I16" s="19" t="n"/>
      <c r="J16" s="16" t="n"/>
      <c r="K16" s="16" t="n"/>
      <c r="L16" s="16" t="n"/>
      <c r="M16" s="19" t="n"/>
      <c r="N16" s="16" t="n"/>
      <c r="O16" s="16" t="n"/>
    </row>
    <row r="17">
      <c r="A17" s="16" t="n">
        <v>14</v>
      </c>
      <c r="B17" s="16" t="n"/>
      <c r="C17" s="16" t="n"/>
      <c r="D17" s="16" t="n"/>
      <c r="E17" s="17" t="n"/>
      <c r="F17" s="16" t="n"/>
      <c r="G17" s="18">
        <f>IF(AND(F17="Messaged",ISNUMBER(E17)),E17+3,"")</f>
        <v/>
      </c>
      <c r="H17" s="17" t="n"/>
      <c r="I17" s="19" t="n"/>
      <c r="J17" s="16" t="n"/>
      <c r="K17" s="16" t="n"/>
      <c r="L17" s="16" t="n"/>
      <c r="M17" s="19" t="n"/>
      <c r="N17" s="16" t="n"/>
      <c r="O17" s="16" t="n"/>
    </row>
    <row r="18">
      <c r="A18" s="16" t="n">
        <v>15</v>
      </c>
      <c r="B18" s="16" t="n"/>
      <c r="C18" s="16" t="n"/>
      <c r="D18" s="16" t="n"/>
      <c r="E18" s="17" t="n"/>
      <c r="F18" s="16" t="n"/>
      <c r="G18" s="18">
        <f>IF(AND(F18="Messaged",ISNUMBER(E18)),E18+3,"")</f>
        <v/>
      </c>
      <c r="H18" s="17" t="n"/>
      <c r="I18" s="19" t="n"/>
      <c r="J18" s="16" t="n"/>
      <c r="K18" s="16" t="n"/>
      <c r="L18" s="16" t="n"/>
      <c r="M18" s="19" t="n"/>
      <c r="N18" s="16" t="n"/>
      <c r="O18" s="16" t="n"/>
    </row>
    <row r="19">
      <c r="A19" s="16" t="n">
        <v>16</v>
      </c>
      <c r="B19" s="16" t="n"/>
      <c r="C19" s="16" t="n"/>
      <c r="D19" s="16" t="n"/>
      <c r="E19" s="17" t="n"/>
      <c r="F19" s="16" t="n"/>
      <c r="G19" s="18">
        <f>IF(AND(F19="Messaged",ISNUMBER(E19)),E19+3,"")</f>
        <v/>
      </c>
      <c r="H19" s="17" t="n"/>
      <c r="I19" s="19" t="n"/>
      <c r="J19" s="16" t="n"/>
      <c r="K19" s="16" t="n"/>
      <c r="L19" s="16" t="n"/>
      <c r="M19" s="19" t="n"/>
      <c r="N19" s="16" t="n"/>
      <c r="O19" s="16" t="n"/>
    </row>
    <row r="20">
      <c r="A20" s="16" t="n">
        <v>17</v>
      </c>
      <c r="B20" s="16" t="n"/>
      <c r="C20" s="16" t="n"/>
      <c r="D20" s="16" t="n"/>
      <c r="E20" s="17" t="n"/>
      <c r="F20" s="16" t="n"/>
      <c r="G20" s="18">
        <f>IF(AND(F20="Messaged",ISNUMBER(E20)),E20+3,"")</f>
        <v/>
      </c>
      <c r="H20" s="17" t="n"/>
      <c r="I20" s="19" t="n"/>
      <c r="J20" s="16" t="n"/>
      <c r="K20" s="16" t="n"/>
      <c r="L20" s="16" t="n"/>
      <c r="M20" s="19" t="n"/>
      <c r="N20" s="16" t="n"/>
      <c r="O20" s="16" t="n"/>
    </row>
    <row r="21">
      <c r="A21" s="16" t="n">
        <v>18</v>
      </c>
      <c r="B21" s="16" t="n"/>
      <c r="C21" s="16" t="n"/>
      <c r="D21" s="16" t="n"/>
      <c r="E21" s="17" t="n"/>
      <c r="F21" s="16" t="n"/>
      <c r="G21" s="18">
        <f>IF(AND(F21="Messaged",ISNUMBER(E21)),E21+3,"")</f>
        <v/>
      </c>
      <c r="H21" s="17" t="n"/>
      <c r="I21" s="19" t="n"/>
      <c r="J21" s="16" t="n"/>
      <c r="K21" s="16" t="n"/>
      <c r="L21" s="16" t="n"/>
      <c r="M21" s="19" t="n"/>
      <c r="N21" s="16" t="n"/>
      <c r="O21" s="16" t="n"/>
    </row>
    <row r="22">
      <c r="A22" s="16" t="n">
        <v>19</v>
      </c>
      <c r="B22" s="16" t="n"/>
      <c r="C22" s="16" t="n"/>
      <c r="D22" s="16" t="n"/>
      <c r="E22" s="17" t="n"/>
      <c r="F22" s="16" t="n"/>
      <c r="G22" s="18">
        <f>IF(AND(F22="Messaged",ISNUMBER(E22)),E22+3,"")</f>
        <v/>
      </c>
      <c r="H22" s="17" t="n"/>
      <c r="I22" s="19" t="n"/>
      <c r="J22" s="16" t="n"/>
      <c r="K22" s="16" t="n"/>
      <c r="L22" s="16" t="n"/>
      <c r="M22" s="19" t="n"/>
      <c r="N22" s="16" t="n"/>
      <c r="O22" s="16" t="n"/>
    </row>
    <row r="23">
      <c r="A23" s="16" t="n">
        <v>20</v>
      </c>
      <c r="B23" s="16" t="n"/>
      <c r="C23" s="16" t="n"/>
      <c r="D23" s="16" t="n"/>
      <c r="E23" s="17" t="n"/>
      <c r="F23" s="16" t="n"/>
      <c r="G23" s="18">
        <f>IF(AND(F23="Messaged",ISNUMBER(E23)),E23+3,"")</f>
        <v/>
      </c>
      <c r="H23" s="17" t="n"/>
      <c r="I23" s="19" t="n"/>
      <c r="J23" s="16" t="n"/>
      <c r="K23" s="16" t="n"/>
      <c r="L23" s="16" t="n"/>
      <c r="M23" s="19" t="n"/>
      <c r="N23" s="16" t="n"/>
      <c r="O23" s="16" t="n"/>
    </row>
    <row r="24">
      <c r="A24" s="16" t="n">
        <v>21</v>
      </c>
      <c r="B24" s="16" t="n"/>
      <c r="C24" s="16" t="n"/>
      <c r="D24" s="16" t="n"/>
      <c r="E24" s="17" t="n"/>
      <c r="F24" s="16" t="n"/>
      <c r="G24" s="18">
        <f>IF(AND(F24="Messaged",ISNUMBER(E24)),E24+3,"")</f>
        <v/>
      </c>
      <c r="H24" s="17" t="n"/>
      <c r="I24" s="19" t="n"/>
      <c r="J24" s="16" t="n"/>
      <c r="K24" s="16" t="n"/>
      <c r="L24" s="16" t="n"/>
      <c r="M24" s="19" t="n"/>
      <c r="N24" s="16" t="n"/>
      <c r="O24" s="16" t="n"/>
    </row>
    <row r="25">
      <c r="A25" s="16" t="n">
        <v>22</v>
      </c>
      <c r="B25" s="16" t="n"/>
      <c r="C25" s="16" t="n"/>
      <c r="D25" s="16" t="n"/>
      <c r="E25" s="17" t="n"/>
      <c r="F25" s="16" t="n"/>
      <c r="G25" s="18">
        <f>IF(AND(F25="Messaged",ISNUMBER(E25)),E25+3,"")</f>
        <v/>
      </c>
      <c r="H25" s="17" t="n"/>
      <c r="I25" s="19" t="n"/>
      <c r="J25" s="16" t="n"/>
      <c r="K25" s="16" t="n"/>
      <c r="L25" s="16" t="n"/>
      <c r="M25" s="19" t="n"/>
      <c r="N25" s="16" t="n"/>
      <c r="O25" s="16" t="n"/>
    </row>
    <row r="26">
      <c r="A26" s="16" t="n">
        <v>23</v>
      </c>
      <c r="B26" s="16" t="n"/>
      <c r="C26" s="16" t="n"/>
      <c r="D26" s="16" t="n"/>
      <c r="E26" s="17" t="n"/>
      <c r="F26" s="16" t="n"/>
      <c r="G26" s="18">
        <f>IF(AND(F26="Messaged",ISNUMBER(E26)),E26+3,"")</f>
        <v/>
      </c>
      <c r="H26" s="17" t="n"/>
      <c r="I26" s="19" t="n"/>
      <c r="J26" s="16" t="n"/>
      <c r="K26" s="16" t="n"/>
      <c r="L26" s="16" t="n"/>
      <c r="M26" s="19" t="n"/>
      <c r="N26" s="16" t="n"/>
      <c r="O26" s="16" t="n"/>
    </row>
    <row r="27">
      <c r="A27" s="16" t="n">
        <v>24</v>
      </c>
      <c r="B27" s="16" t="n"/>
      <c r="C27" s="16" t="n"/>
      <c r="D27" s="16" t="n"/>
      <c r="E27" s="17" t="n"/>
      <c r="F27" s="16" t="n"/>
      <c r="G27" s="18">
        <f>IF(AND(F27="Messaged",ISNUMBER(E27)),E27+3,"")</f>
        <v/>
      </c>
      <c r="H27" s="17" t="n"/>
      <c r="I27" s="19" t="n"/>
      <c r="J27" s="16" t="n"/>
      <c r="K27" s="16" t="n"/>
      <c r="L27" s="16" t="n"/>
      <c r="M27" s="19" t="n"/>
      <c r="N27" s="16" t="n"/>
      <c r="O27" s="16" t="n"/>
    </row>
    <row r="28">
      <c r="A28" s="16" t="n">
        <v>25</v>
      </c>
      <c r="B28" s="16" t="n"/>
      <c r="C28" s="16" t="n"/>
      <c r="D28" s="16" t="n"/>
      <c r="E28" s="17" t="n"/>
      <c r="F28" s="16" t="n"/>
      <c r="G28" s="18">
        <f>IF(AND(F28="Messaged",ISNUMBER(E28)),E28+3,"")</f>
        <v/>
      </c>
      <c r="H28" s="17" t="n"/>
      <c r="I28" s="19" t="n"/>
      <c r="J28" s="16" t="n"/>
      <c r="K28" s="16" t="n"/>
      <c r="L28" s="16" t="n"/>
      <c r="M28" s="19" t="n"/>
      <c r="N28" s="16" t="n"/>
      <c r="O28" s="16" t="n"/>
    </row>
    <row r="29">
      <c r="A29" s="16" t="n">
        <v>26</v>
      </c>
      <c r="B29" s="16" t="n"/>
      <c r="C29" s="16" t="n"/>
      <c r="D29" s="16" t="n"/>
      <c r="E29" s="17" t="n"/>
      <c r="F29" s="16" t="n"/>
      <c r="G29" s="18">
        <f>IF(AND(F29="Messaged",ISNUMBER(E29)),E29+3,"")</f>
        <v/>
      </c>
      <c r="H29" s="17" t="n"/>
      <c r="I29" s="19" t="n"/>
      <c r="J29" s="16" t="n"/>
      <c r="K29" s="16" t="n"/>
      <c r="L29" s="16" t="n"/>
      <c r="M29" s="19" t="n"/>
      <c r="N29" s="16" t="n"/>
      <c r="O29" s="16" t="n"/>
    </row>
    <row r="30">
      <c r="A30" s="16" t="n">
        <v>27</v>
      </c>
      <c r="B30" s="16" t="n"/>
      <c r="C30" s="16" t="n"/>
      <c r="D30" s="16" t="n"/>
      <c r="E30" s="17" t="n"/>
      <c r="F30" s="16" t="n"/>
      <c r="G30" s="18">
        <f>IF(AND(F30="Messaged",ISNUMBER(E30)),E30+3,"")</f>
        <v/>
      </c>
      <c r="H30" s="17" t="n"/>
      <c r="I30" s="19" t="n"/>
      <c r="J30" s="16" t="n"/>
      <c r="K30" s="16" t="n"/>
      <c r="L30" s="16" t="n"/>
      <c r="M30" s="19" t="n"/>
      <c r="N30" s="16" t="n"/>
      <c r="O30" s="16" t="n"/>
    </row>
    <row r="31">
      <c r="A31" s="16" t="n">
        <v>28</v>
      </c>
      <c r="B31" s="16" t="n"/>
      <c r="C31" s="16" t="n"/>
      <c r="D31" s="16" t="n"/>
      <c r="E31" s="17" t="n"/>
      <c r="F31" s="16" t="n"/>
      <c r="G31" s="18">
        <f>IF(AND(F31="Messaged",ISNUMBER(E31)),E31+3,"")</f>
        <v/>
      </c>
      <c r="H31" s="17" t="n"/>
      <c r="I31" s="19" t="n"/>
      <c r="J31" s="16" t="n"/>
      <c r="K31" s="16" t="n"/>
      <c r="L31" s="16" t="n"/>
      <c r="M31" s="19" t="n"/>
      <c r="N31" s="16" t="n"/>
      <c r="O31" s="16" t="n"/>
    </row>
    <row r="32">
      <c r="A32" s="16" t="n">
        <v>29</v>
      </c>
      <c r="B32" s="16" t="n"/>
      <c r="C32" s="16" t="n"/>
      <c r="D32" s="16" t="n"/>
      <c r="E32" s="17" t="n"/>
      <c r="F32" s="16" t="n"/>
      <c r="G32" s="18">
        <f>IF(AND(F32="Messaged",ISNUMBER(E32)),E32+3,"")</f>
        <v/>
      </c>
      <c r="H32" s="17" t="n"/>
      <c r="I32" s="19" t="n"/>
      <c r="J32" s="16" t="n"/>
      <c r="K32" s="16" t="n"/>
      <c r="L32" s="16" t="n"/>
      <c r="M32" s="19" t="n"/>
      <c r="N32" s="16" t="n"/>
      <c r="O32" s="16" t="n"/>
    </row>
    <row r="33">
      <c r="A33" s="16" t="n">
        <v>30</v>
      </c>
      <c r="B33" s="16" t="n"/>
      <c r="C33" s="16" t="n"/>
      <c r="D33" s="16" t="n"/>
      <c r="E33" s="17" t="n"/>
      <c r="F33" s="16" t="n"/>
      <c r="G33" s="18">
        <f>IF(AND(F33="Messaged",ISNUMBER(E33)),E33+3,"")</f>
        <v/>
      </c>
      <c r="H33" s="17" t="n"/>
      <c r="I33" s="19" t="n"/>
      <c r="J33" s="16" t="n"/>
      <c r="K33" s="16" t="n"/>
      <c r="L33" s="16" t="n"/>
      <c r="M33" s="19" t="n"/>
      <c r="N33" s="16" t="n"/>
      <c r="O33" s="16" t="n"/>
    </row>
    <row r="34">
      <c r="A34" s="16" t="n">
        <v>31</v>
      </c>
      <c r="B34" s="16" t="n"/>
      <c r="C34" s="16" t="n"/>
      <c r="D34" s="16" t="n"/>
      <c r="E34" s="17" t="n"/>
      <c r="F34" s="16" t="n"/>
      <c r="G34" s="18">
        <f>IF(AND(F34="Messaged",ISNUMBER(E34)),E34+3,"")</f>
        <v/>
      </c>
      <c r="H34" s="17" t="n"/>
      <c r="I34" s="19" t="n"/>
      <c r="J34" s="16" t="n"/>
      <c r="K34" s="16" t="n"/>
      <c r="L34" s="16" t="n"/>
      <c r="M34" s="19" t="n"/>
      <c r="N34" s="16" t="n"/>
      <c r="O34" s="16" t="n"/>
    </row>
    <row r="35">
      <c r="A35" s="16" t="n">
        <v>32</v>
      </c>
      <c r="B35" s="16" t="n"/>
      <c r="C35" s="16" t="n"/>
      <c r="D35" s="16" t="n"/>
      <c r="E35" s="17" t="n"/>
      <c r="F35" s="16" t="n"/>
      <c r="G35" s="18">
        <f>IF(AND(F35="Messaged",ISNUMBER(E35)),E35+3,"")</f>
        <v/>
      </c>
      <c r="H35" s="17" t="n"/>
      <c r="I35" s="19" t="n"/>
      <c r="J35" s="16" t="n"/>
      <c r="K35" s="16" t="n"/>
      <c r="L35" s="16" t="n"/>
      <c r="M35" s="19" t="n"/>
      <c r="N35" s="16" t="n"/>
      <c r="O35" s="16" t="n"/>
    </row>
    <row r="36">
      <c r="A36" s="16" t="n">
        <v>33</v>
      </c>
      <c r="B36" s="16" t="n"/>
      <c r="C36" s="16" t="n"/>
      <c r="D36" s="16" t="n"/>
      <c r="E36" s="17" t="n"/>
      <c r="F36" s="16" t="n"/>
      <c r="G36" s="18">
        <f>IF(AND(F36="Messaged",ISNUMBER(E36)),E36+3,"")</f>
        <v/>
      </c>
      <c r="H36" s="17" t="n"/>
      <c r="I36" s="19" t="n"/>
      <c r="J36" s="16" t="n"/>
      <c r="K36" s="16" t="n"/>
      <c r="L36" s="16" t="n"/>
      <c r="M36" s="19" t="n"/>
      <c r="N36" s="16" t="n"/>
      <c r="O36" s="16" t="n"/>
    </row>
    <row r="37">
      <c r="A37" s="16" t="n">
        <v>34</v>
      </c>
      <c r="B37" s="16" t="n"/>
      <c r="C37" s="16" t="n"/>
      <c r="D37" s="16" t="n"/>
      <c r="E37" s="17" t="n"/>
      <c r="F37" s="16" t="n"/>
      <c r="G37" s="18">
        <f>IF(AND(F37="Messaged",ISNUMBER(E37)),E37+3,"")</f>
        <v/>
      </c>
      <c r="H37" s="17" t="n"/>
      <c r="I37" s="19" t="n"/>
      <c r="J37" s="16" t="n"/>
      <c r="K37" s="16" t="n"/>
      <c r="L37" s="16" t="n"/>
      <c r="M37" s="19" t="n"/>
      <c r="N37" s="16" t="n"/>
      <c r="O37" s="16" t="n"/>
    </row>
    <row r="38">
      <c r="A38" s="16" t="n">
        <v>35</v>
      </c>
      <c r="B38" s="16" t="n"/>
      <c r="C38" s="16" t="n"/>
      <c r="D38" s="16" t="n"/>
      <c r="E38" s="17" t="n"/>
      <c r="F38" s="16" t="n"/>
      <c r="G38" s="18">
        <f>IF(AND(F38="Messaged",ISNUMBER(E38)),E38+3,"")</f>
        <v/>
      </c>
      <c r="H38" s="17" t="n"/>
      <c r="I38" s="19" t="n"/>
      <c r="J38" s="16" t="n"/>
      <c r="K38" s="16" t="n"/>
      <c r="L38" s="16" t="n"/>
      <c r="M38" s="19" t="n"/>
      <c r="N38" s="16" t="n"/>
      <c r="O38" s="16" t="n"/>
    </row>
    <row r="39">
      <c r="A39" s="16" t="n">
        <v>36</v>
      </c>
      <c r="B39" s="16" t="n"/>
      <c r="C39" s="16" t="n"/>
      <c r="D39" s="16" t="n"/>
      <c r="E39" s="17" t="n"/>
      <c r="F39" s="16" t="n"/>
      <c r="G39" s="18">
        <f>IF(AND(F39="Messaged",ISNUMBER(E39)),E39+3,"")</f>
        <v/>
      </c>
      <c r="H39" s="17" t="n"/>
      <c r="I39" s="19" t="n"/>
      <c r="J39" s="16" t="n"/>
      <c r="K39" s="16" t="n"/>
      <c r="L39" s="16" t="n"/>
      <c r="M39" s="19" t="n"/>
      <c r="N39" s="16" t="n"/>
      <c r="O39" s="16" t="n"/>
    </row>
    <row r="40">
      <c r="A40" s="16" t="n">
        <v>37</v>
      </c>
      <c r="B40" s="16" t="n"/>
      <c r="C40" s="16" t="n"/>
      <c r="D40" s="16" t="n"/>
      <c r="E40" s="17" t="n"/>
      <c r="F40" s="16" t="n"/>
      <c r="G40" s="18">
        <f>IF(AND(F40="Messaged",ISNUMBER(E40)),E40+3,"")</f>
        <v/>
      </c>
      <c r="H40" s="17" t="n"/>
      <c r="I40" s="19" t="n"/>
      <c r="J40" s="16" t="n"/>
      <c r="K40" s="16" t="n"/>
      <c r="L40" s="16" t="n"/>
      <c r="M40" s="19" t="n"/>
      <c r="N40" s="16" t="n"/>
      <c r="O40" s="16" t="n"/>
    </row>
    <row r="41">
      <c r="A41" s="16" t="n">
        <v>38</v>
      </c>
      <c r="B41" s="16" t="n"/>
      <c r="C41" s="16" t="n"/>
      <c r="D41" s="16" t="n"/>
      <c r="E41" s="17" t="n"/>
      <c r="F41" s="16" t="n"/>
      <c r="G41" s="18">
        <f>IF(AND(F41="Messaged",ISNUMBER(E41)),E41+3,"")</f>
        <v/>
      </c>
      <c r="H41" s="17" t="n"/>
      <c r="I41" s="19" t="n"/>
      <c r="J41" s="16" t="n"/>
      <c r="K41" s="16" t="n"/>
      <c r="L41" s="16" t="n"/>
      <c r="M41" s="19" t="n"/>
      <c r="N41" s="16" t="n"/>
      <c r="O41" s="16" t="n"/>
    </row>
    <row r="42">
      <c r="A42" s="16" t="n">
        <v>39</v>
      </c>
      <c r="B42" s="16" t="n"/>
      <c r="C42" s="16" t="n"/>
      <c r="D42" s="16" t="n"/>
      <c r="E42" s="17" t="n"/>
      <c r="F42" s="16" t="n"/>
      <c r="G42" s="18">
        <f>IF(AND(F42="Messaged",ISNUMBER(E42)),E42+3,"")</f>
        <v/>
      </c>
      <c r="H42" s="17" t="n"/>
      <c r="I42" s="19" t="n"/>
      <c r="J42" s="16" t="n"/>
      <c r="K42" s="16" t="n"/>
      <c r="L42" s="16" t="n"/>
      <c r="M42" s="19" t="n"/>
      <c r="N42" s="16" t="n"/>
      <c r="O42" s="16" t="n"/>
    </row>
    <row r="43">
      <c r="A43" s="16" t="n">
        <v>40</v>
      </c>
      <c r="B43" s="16" t="n"/>
      <c r="C43" s="16" t="n"/>
      <c r="D43" s="16" t="n"/>
      <c r="E43" s="17" t="n"/>
      <c r="F43" s="16" t="n"/>
      <c r="G43" s="18">
        <f>IF(AND(F43="Messaged",ISNUMBER(E43)),E43+3,"")</f>
        <v/>
      </c>
      <c r="H43" s="17" t="n"/>
      <c r="I43" s="19" t="n"/>
      <c r="J43" s="16" t="n"/>
      <c r="K43" s="16" t="n"/>
      <c r="L43" s="16" t="n"/>
      <c r="M43" s="19" t="n"/>
      <c r="N43" s="16" t="n"/>
      <c r="O43" s="16" t="n"/>
    </row>
  </sheetData>
  <autoFilter ref="A3:O43"/>
  <conditionalFormatting sqref="F4:F43">
    <cfRule type="expression" priority="1" dxfId="0" stopIfTrue="0">
      <formula>$F4="Interviewed"</formula>
    </cfRule>
    <cfRule type="expression" priority="2" dxfId="1" stopIfTrue="0">
      <formula>$F4="Booked"</formula>
    </cfRule>
  </conditionalFormatting>
  <conditionalFormatting sqref="G4:G43">
    <cfRule type="expression" priority="3" dxfId="2" stopIfTrue="0">
      <formula>AND(ISNUMBER($G4),$G4&lt;=TODAY())</formula>
    </cfRule>
  </conditionalFormatting>
  <conditionalFormatting sqref="L4:L43">
    <cfRule type="expression" priority="4" dxfId="3" stopIfTrue="0">
      <formula>AND(ISNUMBER($L4),$L4&gt;=4)</formula>
    </cfRule>
  </conditionalFormatting>
  <dataValidations count="6">
    <dataValidation sqref="C4:C43" showDropDown="0" showInputMessage="0" showErrorMessage="0" allowBlank="1" type="list">
      <formula1>"Instagram,TikTok,X,Reddit,Campus,Family friend,Local business,Referral,Other"</formula1>
    </dataValidation>
    <dataValidation sqref="D4:D43" showDropDown="0" showInputMessage="0" showErrorMessage="0" allowBlank="1" type="list">
      <formula1>"Yes,Maybe,No"</formula1>
    </dataValidation>
    <dataValidation sqref="F4:F43" showDropDown="0" showInputMessage="0" showErrorMessage="0" allowBlank="1" type="list">
      <formula1>"To message,Messaged,Booked,Interviewed,No reply,Said no"</formula1>
    </dataValidation>
    <dataValidation sqref="J4:J43" showDropDown="0" showInputMessage="0" showErrorMessage="0" allowBlank="1" type="list">
      <formula1>"Yes,No"</formula1>
    </dataValidation>
    <dataValidation sqref="L4:L43" showDropDown="0" showInputMessage="0" showErrorMessage="0" allowBlank="1" type="list">
      <formula1>"1,2,3,4,5"</formula1>
    </dataValidation>
    <dataValidation sqref="O4:O43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showGridLines="0" tabSelected="0" workbookViewId="0">
      <selection activeCell="A1" sqref="A1"/>
    </sheetView>
  </sheetViews>
  <sheetFormatPr baseColWidth="8" defaultRowHeight="15"/>
  <cols>
    <col width="52" customWidth="1" min="1" max="1"/>
    <col width="60" customWidth="1" min="2" max="2"/>
  </cols>
  <sheetData>
    <row r="1" ht="26" customHeight="1">
      <c r="A1" s="12" t="inlineStr">
        <is>
          <t>Your progress</t>
        </is>
      </c>
    </row>
    <row r="2">
      <c r="A2" s="13" t="inlineStr">
        <is>
          <t>Updates as you log people in the Tracker tab.</t>
        </is>
      </c>
    </row>
    <row r="4">
      <c r="A4" s="1" t="inlineStr">
        <is>
          <t>TOWARD 10 CONVERSATIONS</t>
        </is>
      </c>
    </row>
    <row r="5">
      <c r="A5" s="20" t="inlineStr">
        <is>
          <t>People listed</t>
        </is>
      </c>
      <c r="B5" s="21">
        <f>COUNTA('Tracker'!$B$4:$B$43)</f>
        <v/>
      </c>
    </row>
    <row r="6">
      <c r="A6" s="20" t="inlineStr">
        <is>
          <t>Messaged (any status after To message)</t>
        </is>
      </c>
      <c r="B6" s="21">
        <f>COUNTIF('Tracker'!$F$4:$F$43,"Messaged")+COUNTIF('Tracker'!$F$4:$F$43,"Booked")+COUNTIF('Tracker'!$F$4:$F$43,"Interviewed")+COUNTIF('Tracker'!$F$4:$F$43,"No reply")+COUNTIF('Tracker'!$F$4:$F$43,"Said no")</f>
        <v/>
      </c>
    </row>
    <row r="7">
      <c r="A7" s="20" t="inlineStr">
        <is>
          <t>Booked or done</t>
        </is>
      </c>
      <c r="B7" s="21">
        <f>COUNTIF('Tracker'!$F$4:$F$43,"Booked")+COUNTIF('Tracker'!$F$4:$F$43,"Interviewed")</f>
        <v/>
      </c>
    </row>
    <row r="8">
      <c r="A8" s="22" t="inlineStr">
        <is>
          <t>Interviews done (goal 10)</t>
        </is>
      </c>
      <c r="B8" s="23">
        <f>COUNTIF('Tracker'!$F$4:$F$43,"Interviewed")</f>
        <v/>
      </c>
    </row>
    <row r="9">
      <c r="A9" s="20" t="inlineStr">
        <is>
          <t>Reply-to-booking rate</t>
        </is>
      </c>
      <c r="B9" s="24">
        <f>IF($B$6=0,"",$B$7/$B$6)</f>
        <v/>
      </c>
    </row>
    <row r="10">
      <c r="A10" s="20" t="inlineStr">
        <is>
          <t>Follow-ups due today or earlier</t>
        </is>
      </c>
      <c r="B10" s="21">
        <f>COUNTIFS('Tracker'!$G$4:$G$43,"&lt;="&amp;TODAY())</f>
        <v/>
      </c>
    </row>
    <row r="12">
      <c r="A12" s="1" t="inlineStr">
        <is>
          <t>WHAT YOU ARE HEARING</t>
        </is>
      </c>
    </row>
    <row r="13">
      <c r="A13" s="20" t="inlineStr">
        <is>
          <t>Interviewed people who pay for a fix today</t>
        </is>
      </c>
      <c r="B13" s="21">
        <f>COUNTIFS('Tracker'!$F$4:$F$43,"Interviewed",'Tracker'!$J$4:$J$43,"Yes")</f>
        <v/>
      </c>
    </row>
    <row r="14">
      <c r="A14" s="20" t="inlineStr">
        <is>
          <t>Share of interviews where they pay today</t>
        </is>
      </c>
      <c r="B14" s="24">
        <f>IF($B$8=0,"",$B$13/$B$8)</f>
        <v/>
      </c>
    </row>
    <row r="15">
      <c r="A15" s="20" t="inlineStr">
        <is>
          <t>Average pain (1-5)</t>
        </is>
      </c>
      <c r="B15" s="25">
        <f>IF(COUNT('Tracker'!$L$4:$L$43)=0,"",AVERAGE('Tracker'!$L$4:$L$43))</f>
        <v/>
      </c>
    </row>
    <row r="16">
      <c r="A16" s="22" t="inlineStr">
        <is>
          <t>Next move</t>
        </is>
      </c>
      <c r="B16" s="26">
        <f>IF($B$8&gt;=10,"10 done. Open the Interview Synthesis sheet and make the call.",IF($B$8&gt;=5,"Halfway. Keep booking, and ask every person for a referral.","Keep messaging. Ask about the past, never pitch."))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Conversation Tracker</dc:title>
  <dcterms:created xmlns:dcterms="http://purl.org/dc/terms/" xmlns:xsi="http://www.w3.org/2001/XMLSchema-instance" xsi:type="dcterms:W3CDTF">2026-10-20T04:13:20Z</dcterms:created>
  <dcterms:modified xmlns:dcterms="http://purl.org/dc/terms/" xmlns:xsi="http://www.w3.org/2001/XMLSchema-instance" xsi:type="dcterms:W3CDTF">2026-10-20T04:13:20Z</dcterms:modified>
</cp:coreProperties>
</file>