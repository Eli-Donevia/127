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'Jobs'!$A$3:$J$83</definedName>
    <definedName name="_xlnm.Print_Titles" localSheetId="1">'Jobs'!$3:$3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ddd, mmm d"/>
  </numFmts>
  <fonts count="13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b val="1"/>
      <color rgb="001B1B20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ECEEFB"/>
        <bgColor rgb="00ECEEFB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/>
    </xf>
    <xf numFmtId="165" fontId="5" fillId="2" borderId="1" applyAlignment="1" pivotButton="0" quotePrefix="0" xfId="0">
      <alignment vertical="top"/>
    </xf>
    <xf numFmtId="0" fontId="8" fillId="4" borderId="1" applyAlignment="1" pivotButton="0" quotePrefix="0" xfId="0">
      <alignment vertical="top"/>
    </xf>
    <xf numFmtId="0" fontId="5" fillId="0" borderId="3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3" fontId="8" fillId="4" borderId="1" applyAlignment="1" pivotButton="0" quotePrefix="0" xfId="0">
      <alignment vertical="top" wrapText="1"/>
    </xf>
    <xf numFmtId="9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164" fontId="8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b val="1"/>
      </font>
      <fill>
        <patternFill patternType="solid">
          <fgColor rgb="00FFF3D6"/>
          <bgColor rgb="00FFF3D6"/>
        </patternFill>
      </fill>
    </dxf>
    <dxf>
      <fill>
        <patternFill patternType="solid">
          <fgColor rgb="00DDF3E7"/>
          <bgColor rgb="00DDF3E7"/>
        </patternFill>
      </fill>
    </dxf>
    <dxf>
      <fill>
        <patternFill patternType="solid">
          <fgColor rgb="00FBE3DE"/>
          <bgColor rgb="00FBE3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GROW TRACK  ·  FREE</t>
        </is>
      </c>
    </row>
    <row r="3" ht="34" customHeight="1">
      <c r="B3" s="2" t="inlineStr">
        <is>
          <t>Jobs Tracker</t>
        </is>
      </c>
    </row>
    <row r="4" ht="30" customHeight="1">
      <c r="B4" s="3" t="inlineStr">
        <is>
          <t>Every quote and job in one list, from quote to paid, with follow-up flags, your win rate and the money still owed for finished jobs.</t>
        </is>
      </c>
    </row>
    <row r="6">
      <c r="B6" s="1" t="inlineStr">
        <is>
          <t>HOW TO USE IT</t>
        </is>
      </c>
    </row>
    <row r="7" ht="16" customHeight="1">
      <c r="B7" s="4" t="inlineStr">
        <is>
          <t>1.  One row per quote. Type the customer, the job, the price and the date you sent it.</t>
        </is>
      </c>
    </row>
    <row r="8" ht="16" customHeight="1">
      <c r="B8" s="4" t="inlineStr">
        <is>
          <t>2.  Update Status as it moves: Quoted, Booked, Done, Paid, or Lost.</t>
        </is>
      </c>
    </row>
    <row r="9" ht="16" customHeight="1">
      <c r="B9" s="4" t="inlineStr">
        <is>
          <t>3.  Read Follow up?. A quote with no answer for three days gets one friendly check-in.</t>
        </is>
      </c>
    </row>
    <row r="10" ht="16" customHeight="1">
      <c r="B10" s="4" t="inlineStr">
        <is>
          <t>4.  Lost? Write why in one line. After ten, you'll see the pattern.</t>
        </is>
      </c>
    </row>
    <row r="11" ht="16" customHeight="1">
      <c r="B11" s="4" t="inlineStr">
        <is>
          <t>5.  Read the Summary tab every Friday.</t>
        </is>
      </c>
    </row>
    <row r="13">
      <c r="B13" s="1" t="inlineStr">
        <is>
          <t>CELL COLORS</t>
        </is>
      </c>
    </row>
    <row r="14">
      <c r="B14" s="5" t="inlineStr">
        <is>
          <t>White cells: you type here.</t>
        </is>
      </c>
    </row>
    <row r="15">
      <c r="B15" s="6" t="inlineStr">
        <is>
          <t>Grey cells: calculated for you. Leave them alone.</t>
        </is>
      </c>
    </row>
    <row r="16">
      <c r="B16" s="7" t="inlineStr">
        <is>
          <t>Lilac cells: the answer you came for.</t>
        </is>
      </c>
    </row>
    <row r="18">
      <c r="B18" s="1" t="inlineStr">
        <is>
          <t>OPEN IT ANYWHERE</t>
        </is>
      </c>
    </row>
    <row r="19" ht="30" customHeight="1">
      <c r="B19" s="8" t="inlineStr">
        <is>
          <t>Google Sheets: go to sheets.new, then File &gt; Import &gt; Upload this file &gt; Replace spreadsheet. Formulas and dropdowns come with it.</t>
        </is>
      </c>
    </row>
    <row r="20" ht="15" customHeight="1">
      <c r="B20" s="8" t="inlineStr">
        <is>
          <t>Excel: double-click the file. Numbers on a Mac: open it with Numbers.</t>
        </is>
      </c>
    </row>
    <row r="21" ht="15" customHeight="1">
      <c r="B21" s="8" t="inlineStr">
        <is>
          <t>Phone: upload it to Google Drive, then open it in the Google Sheets app.</t>
        </is>
      </c>
    </row>
    <row r="23" ht="15" customHeight="1">
      <c r="B23" s="9" t="inlineStr">
        <is>
          <t>Automate the reminder, never the relationship. Follow up like a person.</t>
        </is>
      </c>
    </row>
    <row r="25">
      <c r="B25" s="10" t="inlineStr">
        <is>
          <t>Make today day one.  ·  127group.io</t>
        </is>
      </c>
    </row>
    <row r="26">
      <c r="B26" s="11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22" customWidth="1" min="9" max="9"/>
    <col width="16" customWidth="1" min="10" max="10"/>
  </cols>
  <sheetData>
    <row r="1" ht="26" customHeight="1">
      <c r="A1" s="12" t="inlineStr">
        <is>
          <t>Jobs tracker</t>
        </is>
      </c>
    </row>
    <row r="2" ht="16" customHeight="1">
      <c r="A2" s="13" t="inlineStr">
        <is>
          <t>One row per quote. Update the status as it moves.</t>
        </is>
      </c>
    </row>
    <row r="3" ht="40" customHeight="1">
      <c r="A3" s="14" t="inlineStr">
        <is>
          <t>Customer</t>
        </is>
      </c>
      <c r="B3" s="14" t="inlineStr">
        <is>
          <t>Area or address</t>
        </is>
      </c>
      <c r="C3" s="14" t="inlineStr">
        <is>
          <t>Job</t>
        </is>
      </c>
      <c r="D3" s="14" t="inlineStr">
        <is>
          <t>Quote ($)</t>
        </is>
      </c>
      <c r="E3" s="14" t="inlineStr">
        <is>
          <t>Status</t>
        </is>
      </c>
      <c r="F3" s="14" t="inlineStr">
        <is>
          <t>Quoted on</t>
        </is>
      </c>
      <c r="G3" s="14" t="inlineStr">
        <is>
          <t>Job date</t>
        </is>
      </c>
      <c r="H3" s="14" t="inlineStr">
        <is>
          <t>Paid on</t>
        </is>
      </c>
      <c r="I3" s="14" t="inlineStr">
        <is>
          <t>If lost: why</t>
        </is>
      </c>
      <c r="J3" s="15" t="inlineStr">
        <is>
          <t>Follow up?</t>
        </is>
      </c>
    </row>
    <row r="4">
      <c r="A4" s="16" t="n"/>
      <c r="B4" s="16" t="n"/>
      <c r="C4" s="17" t="n"/>
      <c r="D4" s="18" t="n"/>
      <c r="E4" s="16" t="n"/>
      <c r="F4" s="19" t="n"/>
      <c r="G4" s="19" t="n"/>
      <c r="H4" s="19" t="n"/>
      <c r="I4" s="16" t="n"/>
      <c r="J4" s="20">
        <f>IF(AND(E4="Quoted",F4&lt;&gt;"",TODAY()-F4&gt;=3),"Follow up",IF(E4="Done","Get paid",""))</f>
        <v/>
      </c>
    </row>
    <row r="5">
      <c r="A5" s="16" t="n"/>
      <c r="B5" s="16" t="n"/>
      <c r="C5" s="17" t="n"/>
      <c r="D5" s="18" t="n"/>
      <c r="E5" s="16" t="n"/>
      <c r="F5" s="19" t="n"/>
      <c r="G5" s="19" t="n"/>
      <c r="H5" s="19" t="n"/>
      <c r="I5" s="16" t="n"/>
      <c r="J5" s="20">
        <f>IF(AND(E5="Quoted",F5&lt;&gt;"",TODAY()-F5&gt;=3),"Follow up",IF(E5="Done","Get paid",""))</f>
        <v/>
      </c>
    </row>
    <row r="6">
      <c r="A6" s="16" t="n"/>
      <c r="B6" s="16" t="n"/>
      <c r="C6" s="17" t="n"/>
      <c r="D6" s="18" t="n"/>
      <c r="E6" s="16" t="n"/>
      <c r="F6" s="19" t="n"/>
      <c r="G6" s="19" t="n"/>
      <c r="H6" s="19" t="n"/>
      <c r="I6" s="16" t="n"/>
      <c r="J6" s="20">
        <f>IF(AND(E6="Quoted",F6&lt;&gt;"",TODAY()-F6&gt;=3),"Follow up",IF(E6="Done","Get paid",""))</f>
        <v/>
      </c>
    </row>
    <row r="7">
      <c r="A7" s="16" t="n"/>
      <c r="B7" s="16" t="n"/>
      <c r="C7" s="17" t="n"/>
      <c r="D7" s="18" t="n"/>
      <c r="E7" s="16" t="n"/>
      <c r="F7" s="19" t="n"/>
      <c r="G7" s="19" t="n"/>
      <c r="H7" s="19" t="n"/>
      <c r="I7" s="16" t="n"/>
      <c r="J7" s="20">
        <f>IF(AND(E7="Quoted",F7&lt;&gt;"",TODAY()-F7&gt;=3),"Follow up",IF(E7="Done","Get paid",""))</f>
        <v/>
      </c>
    </row>
    <row r="8">
      <c r="A8" s="16" t="n"/>
      <c r="B8" s="16" t="n"/>
      <c r="C8" s="17" t="n"/>
      <c r="D8" s="18" t="n"/>
      <c r="E8" s="16" t="n"/>
      <c r="F8" s="19" t="n"/>
      <c r="G8" s="19" t="n"/>
      <c r="H8" s="19" t="n"/>
      <c r="I8" s="16" t="n"/>
      <c r="J8" s="20">
        <f>IF(AND(E8="Quoted",F8&lt;&gt;"",TODAY()-F8&gt;=3),"Follow up",IF(E8="Done","Get paid",""))</f>
        <v/>
      </c>
    </row>
    <row r="9">
      <c r="A9" s="16" t="n"/>
      <c r="B9" s="16" t="n"/>
      <c r="C9" s="17" t="n"/>
      <c r="D9" s="18" t="n"/>
      <c r="E9" s="16" t="n"/>
      <c r="F9" s="19" t="n"/>
      <c r="G9" s="19" t="n"/>
      <c r="H9" s="19" t="n"/>
      <c r="I9" s="16" t="n"/>
      <c r="J9" s="20">
        <f>IF(AND(E9="Quoted",F9&lt;&gt;"",TODAY()-F9&gt;=3),"Follow up",IF(E9="Done","Get paid",""))</f>
        <v/>
      </c>
    </row>
    <row r="10">
      <c r="A10" s="16" t="n"/>
      <c r="B10" s="16" t="n"/>
      <c r="C10" s="17" t="n"/>
      <c r="D10" s="18" t="n"/>
      <c r="E10" s="16" t="n"/>
      <c r="F10" s="19" t="n"/>
      <c r="G10" s="19" t="n"/>
      <c r="H10" s="19" t="n"/>
      <c r="I10" s="16" t="n"/>
      <c r="J10" s="20">
        <f>IF(AND(E10="Quoted",F10&lt;&gt;"",TODAY()-F10&gt;=3),"Follow up",IF(E10="Done","Get paid",""))</f>
        <v/>
      </c>
    </row>
    <row r="11">
      <c r="A11" s="16" t="n"/>
      <c r="B11" s="16" t="n"/>
      <c r="C11" s="17" t="n"/>
      <c r="D11" s="18" t="n"/>
      <c r="E11" s="16" t="n"/>
      <c r="F11" s="19" t="n"/>
      <c r="G11" s="19" t="n"/>
      <c r="H11" s="19" t="n"/>
      <c r="I11" s="16" t="n"/>
      <c r="J11" s="20">
        <f>IF(AND(E11="Quoted",F11&lt;&gt;"",TODAY()-F11&gt;=3),"Follow up",IF(E11="Done","Get paid",""))</f>
        <v/>
      </c>
    </row>
    <row r="12">
      <c r="A12" s="16" t="n"/>
      <c r="B12" s="16" t="n"/>
      <c r="C12" s="17" t="n"/>
      <c r="D12" s="18" t="n"/>
      <c r="E12" s="16" t="n"/>
      <c r="F12" s="19" t="n"/>
      <c r="G12" s="19" t="n"/>
      <c r="H12" s="19" t="n"/>
      <c r="I12" s="16" t="n"/>
      <c r="J12" s="20">
        <f>IF(AND(E12="Quoted",F12&lt;&gt;"",TODAY()-F12&gt;=3),"Follow up",IF(E12="Done","Get paid",""))</f>
        <v/>
      </c>
    </row>
    <row r="13">
      <c r="A13" s="16" t="n"/>
      <c r="B13" s="16" t="n"/>
      <c r="C13" s="17" t="n"/>
      <c r="D13" s="18" t="n"/>
      <c r="E13" s="16" t="n"/>
      <c r="F13" s="19" t="n"/>
      <c r="G13" s="19" t="n"/>
      <c r="H13" s="19" t="n"/>
      <c r="I13" s="16" t="n"/>
      <c r="J13" s="20">
        <f>IF(AND(E13="Quoted",F13&lt;&gt;"",TODAY()-F13&gt;=3),"Follow up",IF(E13="Done","Get paid",""))</f>
        <v/>
      </c>
    </row>
    <row r="14">
      <c r="A14" s="16" t="n"/>
      <c r="B14" s="16" t="n"/>
      <c r="C14" s="17" t="n"/>
      <c r="D14" s="18" t="n"/>
      <c r="E14" s="16" t="n"/>
      <c r="F14" s="19" t="n"/>
      <c r="G14" s="19" t="n"/>
      <c r="H14" s="19" t="n"/>
      <c r="I14" s="16" t="n"/>
      <c r="J14" s="20">
        <f>IF(AND(E14="Quoted",F14&lt;&gt;"",TODAY()-F14&gt;=3),"Follow up",IF(E14="Done","Get paid",""))</f>
        <v/>
      </c>
    </row>
    <row r="15">
      <c r="A15" s="16" t="n"/>
      <c r="B15" s="16" t="n"/>
      <c r="C15" s="17" t="n"/>
      <c r="D15" s="18" t="n"/>
      <c r="E15" s="16" t="n"/>
      <c r="F15" s="19" t="n"/>
      <c r="G15" s="19" t="n"/>
      <c r="H15" s="19" t="n"/>
      <c r="I15" s="16" t="n"/>
      <c r="J15" s="20">
        <f>IF(AND(E15="Quoted",F15&lt;&gt;"",TODAY()-F15&gt;=3),"Follow up",IF(E15="Done","Get paid",""))</f>
        <v/>
      </c>
    </row>
    <row r="16">
      <c r="A16" s="16" t="n"/>
      <c r="B16" s="16" t="n"/>
      <c r="C16" s="17" t="n"/>
      <c r="D16" s="18" t="n"/>
      <c r="E16" s="16" t="n"/>
      <c r="F16" s="19" t="n"/>
      <c r="G16" s="19" t="n"/>
      <c r="H16" s="19" t="n"/>
      <c r="I16" s="16" t="n"/>
      <c r="J16" s="20">
        <f>IF(AND(E16="Quoted",F16&lt;&gt;"",TODAY()-F16&gt;=3),"Follow up",IF(E16="Done","Get paid",""))</f>
        <v/>
      </c>
    </row>
    <row r="17">
      <c r="A17" s="16" t="n"/>
      <c r="B17" s="16" t="n"/>
      <c r="C17" s="17" t="n"/>
      <c r="D17" s="18" t="n"/>
      <c r="E17" s="16" t="n"/>
      <c r="F17" s="19" t="n"/>
      <c r="G17" s="19" t="n"/>
      <c r="H17" s="19" t="n"/>
      <c r="I17" s="16" t="n"/>
      <c r="J17" s="20">
        <f>IF(AND(E17="Quoted",F17&lt;&gt;"",TODAY()-F17&gt;=3),"Follow up",IF(E17="Done","Get paid",""))</f>
        <v/>
      </c>
    </row>
    <row r="18">
      <c r="A18" s="16" t="n"/>
      <c r="B18" s="16" t="n"/>
      <c r="C18" s="17" t="n"/>
      <c r="D18" s="18" t="n"/>
      <c r="E18" s="16" t="n"/>
      <c r="F18" s="19" t="n"/>
      <c r="G18" s="19" t="n"/>
      <c r="H18" s="19" t="n"/>
      <c r="I18" s="16" t="n"/>
      <c r="J18" s="20">
        <f>IF(AND(E18="Quoted",F18&lt;&gt;"",TODAY()-F18&gt;=3),"Follow up",IF(E18="Done","Get paid",""))</f>
        <v/>
      </c>
    </row>
    <row r="19">
      <c r="A19" s="16" t="n"/>
      <c r="B19" s="16" t="n"/>
      <c r="C19" s="17" t="n"/>
      <c r="D19" s="18" t="n"/>
      <c r="E19" s="16" t="n"/>
      <c r="F19" s="19" t="n"/>
      <c r="G19" s="19" t="n"/>
      <c r="H19" s="19" t="n"/>
      <c r="I19" s="16" t="n"/>
      <c r="J19" s="20">
        <f>IF(AND(E19="Quoted",F19&lt;&gt;"",TODAY()-F19&gt;=3),"Follow up",IF(E19="Done","Get paid",""))</f>
        <v/>
      </c>
    </row>
    <row r="20">
      <c r="A20" s="16" t="n"/>
      <c r="B20" s="16" t="n"/>
      <c r="C20" s="17" t="n"/>
      <c r="D20" s="18" t="n"/>
      <c r="E20" s="16" t="n"/>
      <c r="F20" s="19" t="n"/>
      <c r="G20" s="19" t="n"/>
      <c r="H20" s="19" t="n"/>
      <c r="I20" s="16" t="n"/>
      <c r="J20" s="20">
        <f>IF(AND(E20="Quoted",F20&lt;&gt;"",TODAY()-F20&gt;=3),"Follow up",IF(E20="Done","Get paid",""))</f>
        <v/>
      </c>
    </row>
    <row r="21">
      <c r="A21" s="16" t="n"/>
      <c r="B21" s="16" t="n"/>
      <c r="C21" s="17" t="n"/>
      <c r="D21" s="18" t="n"/>
      <c r="E21" s="16" t="n"/>
      <c r="F21" s="19" t="n"/>
      <c r="G21" s="19" t="n"/>
      <c r="H21" s="19" t="n"/>
      <c r="I21" s="16" t="n"/>
      <c r="J21" s="20">
        <f>IF(AND(E21="Quoted",F21&lt;&gt;"",TODAY()-F21&gt;=3),"Follow up",IF(E21="Done","Get paid",""))</f>
        <v/>
      </c>
    </row>
    <row r="22">
      <c r="A22" s="16" t="n"/>
      <c r="B22" s="16" t="n"/>
      <c r="C22" s="17" t="n"/>
      <c r="D22" s="18" t="n"/>
      <c r="E22" s="16" t="n"/>
      <c r="F22" s="19" t="n"/>
      <c r="G22" s="19" t="n"/>
      <c r="H22" s="19" t="n"/>
      <c r="I22" s="16" t="n"/>
      <c r="J22" s="20">
        <f>IF(AND(E22="Quoted",F22&lt;&gt;"",TODAY()-F22&gt;=3),"Follow up",IF(E22="Done","Get paid",""))</f>
        <v/>
      </c>
    </row>
    <row r="23">
      <c r="A23" s="16" t="n"/>
      <c r="B23" s="16" t="n"/>
      <c r="C23" s="17" t="n"/>
      <c r="D23" s="18" t="n"/>
      <c r="E23" s="16" t="n"/>
      <c r="F23" s="19" t="n"/>
      <c r="G23" s="19" t="n"/>
      <c r="H23" s="19" t="n"/>
      <c r="I23" s="16" t="n"/>
      <c r="J23" s="20">
        <f>IF(AND(E23="Quoted",F23&lt;&gt;"",TODAY()-F23&gt;=3),"Follow up",IF(E23="Done","Get paid",""))</f>
        <v/>
      </c>
    </row>
    <row r="24">
      <c r="A24" s="16" t="n"/>
      <c r="B24" s="16" t="n"/>
      <c r="C24" s="17" t="n"/>
      <c r="D24" s="18" t="n"/>
      <c r="E24" s="16" t="n"/>
      <c r="F24" s="19" t="n"/>
      <c r="G24" s="19" t="n"/>
      <c r="H24" s="19" t="n"/>
      <c r="I24" s="16" t="n"/>
      <c r="J24" s="20">
        <f>IF(AND(E24="Quoted",F24&lt;&gt;"",TODAY()-F24&gt;=3),"Follow up",IF(E24="Done","Get paid",""))</f>
        <v/>
      </c>
    </row>
    <row r="25">
      <c r="A25" s="16" t="n"/>
      <c r="B25" s="16" t="n"/>
      <c r="C25" s="17" t="n"/>
      <c r="D25" s="18" t="n"/>
      <c r="E25" s="16" t="n"/>
      <c r="F25" s="19" t="n"/>
      <c r="G25" s="19" t="n"/>
      <c r="H25" s="19" t="n"/>
      <c r="I25" s="16" t="n"/>
      <c r="J25" s="20">
        <f>IF(AND(E25="Quoted",F25&lt;&gt;"",TODAY()-F25&gt;=3),"Follow up",IF(E25="Done","Get paid",""))</f>
        <v/>
      </c>
    </row>
    <row r="26">
      <c r="A26" s="16" t="n"/>
      <c r="B26" s="16" t="n"/>
      <c r="C26" s="17" t="n"/>
      <c r="D26" s="18" t="n"/>
      <c r="E26" s="16" t="n"/>
      <c r="F26" s="19" t="n"/>
      <c r="G26" s="19" t="n"/>
      <c r="H26" s="19" t="n"/>
      <c r="I26" s="16" t="n"/>
      <c r="J26" s="20">
        <f>IF(AND(E26="Quoted",F26&lt;&gt;"",TODAY()-F26&gt;=3),"Follow up",IF(E26="Done","Get paid",""))</f>
        <v/>
      </c>
    </row>
    <row r="27">
      <c r="A27" s="16" t="n"/>
      <c r="B27" s="16" t="n"/>
      <c r="C27" s="17" t="n"/>
      <c r="D27" s="18" t="n"/>
      <c r="E27" s="16" t="n"/>
      <c r="F27" s="19" t="n"/>
      <c r="G27" s="19" t="n"/>
      <c r="H27" s="19" t="n"/>
      <c r="I27" s="16" t="n"/>
      <c r="J27" s="20">
        <f>IF(AND(E27="Quoted",F27&lt;&gt;"",TODAY()-F27&gt;=3),"Follow up",IF(E27="Done","Get paid",""))</f>
        <v/>
      </c>
    </row>
    <row r="28">
      <c r="A28" s="16" t="n"/>
      <c r="B28" s="16" t="n"/>
      <c r="C28" s="17" t="n"/>
      <c r="D28" s="18" t="n"/>
      <c r="E28" s="16" t="n"/>
      <c r="F28" s="19" t="n"/>
      <c r="G28" s="19" t="n"/>
      <c r="H28" s="19" t="n"/>
      <c r="I28" s="16" t="n"/>
      <c r="J28" s="20">
        <f>IF(AND(E28="Quoted",F28&lt;&gt;"",TODAY()-F28&gt;=3),"Follow up",IF(E28="Done","Get paid",""))</f>
        <v/>
      </c>
    </row>
    <row r="29">
      <c r="A29" s="16" t="n"/>
      <c r="B29" s="16" t="n"/>
      <c r="C29" s="17" t="n"/>
      <c r="D29" s="18" t="n"/>
      <c r="E29" s="16" t="n"/>
      <c r="F29" s="19" t="n"/>
      <c r="G29" s="19" t="n"/>
      <c r="H29" s="19" t="n"/>
      <c r="I29" s="16" t="n"/>
      <c r="J29" s="20">
        <f>IF(AND(E29="Quoted",F29&lt;&gt;"",TODAY()-F29&gt;=3),"Follow up",IF(E29="Done","Get paid",""))</f>
        <v/>
      </c>
    </row>
    <row r="30">
      <c r="A30" s="16" t="n"/>
      <c r="B30" s="16" t="n"/>
      <c r="C30" s="17" t="n"/>
      <c r="D30" s="18" t="n"/>
      <c r="E30" s="16" t="n"/>
      <c r="F30" s="19" t="n"/>
      <c r="G30" s="19" t="n"/>
      <c r="H30" s="19" t="n"/>
      <c r="I30" s="16" t="n"/>
      <c r="J30" s="20">
        <f>IF(AND(E30="Quoted",F30&lt;&gt;"",TODAY()-F30&gt;=3),"Follow up",IF(E30="Done","Get paid",""))</f>
        <v/>
      </c>
    </row>
    <row r="31">
      <c r="A31" s="16" t="n"/>
      <c r="B31" s="16" t="n"/>
      <c r="C31" s="17" t="n"/>
      <c r="D31" s="18" t="n"/>
      <c r="E31" s="16" t="n"/>
      <c r="F31" s="19" t="n"/>
      <c r="G31" s="19" t="n"/>
      <c r="H31" s="19" t="n"/>
      <c r="I31" s="16" t="n"/>
      <c r="J31" s="20">
        <f>IF(AND(E31="Quoted",F31&lt;&gt;"",TODAY()-F31&gt;=3),"Follow up",IF(E31="Done","Get paid",""))</f>
        <v/>
      </c>
    </row>
    <row r="32">
      <c r="A32" s="16" t="n"/>
      <c r="B32" s="16" t="n"/>
      <c r="C32" s="17" t="n"/>
      <c r="D32" s="18" t="n"/>
      <c r="E32" s="16" t="n"/>
      <c r="F32" s="19" t="n"/>
      <c r="G32" s="19" t="n"/>
      <c r="H32" s="19" t="n"/>
      <c r="I32" s="16" t="n"/>
      <c r="J32" s="20">
        <f>IF(AND(E32="Quoted",F32&lt;&gt;"",TODAY()-F32&gt;=3),"Follow up",IF(E32="Done","Get paid",""))</f>
        <v/>
      </c>
    </row>
    <row r="33">
      <c r="A33" s="16" t="n"/>
      <c r="B33" s="16" t="n"/>
      <c r="C33" s="17" t="n"/>
      <c r="D33" s="18" t="n"/>
      <c r="E33" s="16" t="n"/>
      <c r="F33" s="19" t="n"/>
      <c r="G33" s="19" t="n"/>
      <c r="H33" s="19" t="n"/>
      <c r="I33" s="16" t="n"/>
      <c r="J33" s="20">
        <f>IF(AND(E33="Quoted",F33&lt;&gt;"",TODAY()-F33&gt;=3),"Follow up",IF(E33="Done","Get paid",""))</f>
        <v/>
      </c>
    </row>
    <row r="34">
      <c r="A34" s="16" t="n"/>
      <c r="B34" s="16" t="n"/>
      <c r="C34" s="17" t="n"/>
      <c r="D34" s="18" t="n"/>
      <c r="E34" s="16" t="n"/>
      <c r="F34" s="19" t="n"/>
      <c r="G34" s="19" t="n"/>
      <c r="H34" s="19" t="n"/>
      <c r="I34" s="16" t="n"/>
      <c r="J34" s="20">
        <f>IF(AND(E34="Quoted",F34&lt;&gt;"",TODAY()-F34&gt;=3),"Follow up",IF(E34="Done","Get paid",""))</f>
        <v/>
      </c>
    </row>
    <row r="35">
      <c r="A35" s="16" t="n"/>
      <c r="B35" s="16" t="n"/>
      <c r="C35" s="17" t="n"/>
      <c r="D35" s="18" t="n"/>
      <c r="E35" s="16" t="n"/>
      <c r="F35" s="19" t="n"/>
      <c r="G35" s="19" t="n"/>
      <c r="H35" s="19" t="n"/>
      <c r="I35" s="16" t="n"/>
      <c r="J35" s="20">
        <f>IF(AND(E35="Quoted",F35&lt;&gt;"",TODAY()-F35&gt;=3),"Follow up",IF(E35="Done","Get paid",""))</f>
        <v/>
      </c>
    </row>
    <row r="36">
      <c r="A36" s="16" t="n"/>
      <c r="B36" s="16" t="n"/>
      <c r="C36" s="17" t="n"/>
      <c r="D36" s="18" t="n"/>
      <c r="E36" s="16" t="n"/>
      <c r="F36" s="19" t="n"/>
      <c r="G36" s="19" t="n"/>
      <c r="H36" s="19" t="n"/>
      <c r="I36" s="16" t="n"/>
      <c r="J36" s="20">
        <f>IF(AND(E36="Quoted",F36&lt;&gt;"",TODAY()-F36&gt;=3),"Follow up",IF(E36="Done","Get paid",""))</f>
        <v/>
      </c>
    </row>
    <row r="37">
      <c r="A37" s="16" t="n"/>
      <c r="B37" s="16" t="n"/>
      <c r="C37" s="17" t="n"/>
      <c r="D37" s="18" t="n"/>
      <c r="E37" s="16" t="n"/>
      <c r="F37" s="19" t="n"/>
      <c r="G37" s="19" t="n"/>
      <c r="H37" s="19" t="n"/>
      <c r="I37" s="16" t="n"/>
      <c r="J37" s="20">
        <f>IF(AND(E37="Quoted",F37&lt;&gt;"",TODAY()-F37&gt;=3),"Follow up",IF(E37="Done","Get paid",""))</f>
        <v/>
      </c>
    </row>
    <row r="38">
      <c r="A38" s="16" t="n"/>
      <c r="B38" s="16" t="n"/>
      <c r="C38" s="17" t="n"/>
      <c r="D38" s="18" t="n"/>
      <c r="E38" s="16" t="n"/>
      <c r="F38" s="19" t="n"/>
      <c r="G38" s="19" t="n"/>
      <c r="H38" s="19" t="n"/>
      <c r="I38" s="16" t="n"/>
      <c r="J38" s="20">
        <f>IF(AND(E38="Quoted",F38&lt;&gt;"",TODAY()-F38&gt;=3),"Follow up",IF(E38="Done","Get paid",""))</f>
        <v/>
      </c>
    </row>
    <row r="39">
      <c r="A39" s="16" t="n"/>
      <c r="B39" s="16" t="n"/>
      <c r="C39" s="17" t="n"/>
      <c r="D39" s="18" t="n"/>
      <c r="E39" s="16" t="n"/>
      <c r="F39" s="19" t="n"/>
      <c r="G39" s="19" t="n"/>
      <c r="H39" s="19" t="n"/>
      <c r="I39" s="16" t="n"/>
      <c r="J39" s="20">
        <f>IF(AND(E39="Quoted",F39&lt;&gt;"",TODAY()-F39&gt;=3),"Follow up",IF(E39="Done","Get paid",""))</f>
        <v/>
      </c>
    </row>
    <row r="40">
      <c r="A40" s="16" t="n"/>
      <c r="B40" s="16" t="n"/>
      <c r="C40" s="17" t="n"/>
      <c r="D40" s="18" t="n"/>
      <c r="E40" s="16" t="n"/>
      <c r="F40" s="19" t="n"/>
      <c r="G40" s="19" t="n"/>
      <c r="H40" s="19" t="n"/>
      <c r="I40" s="16" t="n"/>
      <c r="J40" s="20">
        <f>IF(AND(E40="Quoted",F40&lt;&gt;"",TODAY()-F40&gt;=3),"Follow up",IF(E40="Done","Get paid",""))</f>
        <v/>
      </c>
    </row>
    <row r="41">
      <c r="A41" s="16" t="n"/>
      <c r="B41" s="16" t="n"/>
      <c r="C41" s="17" t="n"/>
      <c r="D41" s="18" t="n"/>
      <c r="E41" s="16" t="n"/>
      <c r="F41" s="19" t="n"/>
      <c r="G41" s="19" t="n"/>
      <c r="H41" s="19" t="n"/>
      <c r="I41" s="16" t="n"/>
      <c r="J41" s="20">
        <f>IF(AND(E41="Quoted",F41&lt;&gt;"",TODAY()-F41&gt;=3),"Follow up",IF(E41="Done","Get paid",""))</f>
        <v/>
      </c>
    </row>
    <row r="42">
      <c r="A42" s="16" t="n"/>
      <c r="B42" s="16" t="n"/>
      <c r="C42" s="17" t="n"/>
      <c r="D42" s="18" t="n"/>
      <c r="E42" s="16" t="n"/>
      <c r="F42" s="19" t="n"/>
      <c r="G42" s="19" t="n"/>
      <c r="H42" s="19" t="n"/>
      <c r="I42" s="16" t="n"/>
      <c r="J42" s="20">
        <f>IF(AND(E42="Quoted",F42&lt;&gt;"",TODAY()-F42&gt;=3),"Follow up",IF(E42="Done","Get paid",""))</f>
        <v/>
      </c>
    </row>
    <row r="43">
      <c r="A43" s="16" t="n"/>
      <c r="B43" s="16" t="n"/>
      <c r="C43" s="17" t="n"/>
      <c r="D43" s="18" t="n"/>
      <c r="E43" s="16" t="n"/>
      <c r="F43" s="19" t="n"/>
      <c r="G43" s="19" t="n"/>
      <c r="H43" s="19" t="n"/>
      <c r="I43" s="16" t="n"/>
      <c r="J43" s="20">
        <f>IF(AND(E43="Quoted",F43&lt;&gt;"",TODAY()-F43&gt;=3),"Follow up",IF(E43="Done","Get paid",""))</f>
        <v/>
      </c>
    </row>
    <row r="44">
      <c r="A44" s="16" t="n"/>
      <c r="B44" s="16" t="n"/>
      <c r="C44" s="17" t="n"/>
      <c r="D44" s="18" t="n"/>
      <c r="E44" s="16" t="n"/>
      <c r="F44" s="19" t="n"/>
      <c r="G44" s="19" t="n"/>
      <c r="H44" s="19" t="n"/>
      <c r="I44" s="16" t="n"/>
      <c r="J44" s="20">
        <f>IF(AND(E44="Quoted",F44&lt;&gt;"",TODAY()-F44&gt;=3),"Follow up",IF(E44="Done","Get paid",""))</f>
        <v/>
      </c>
    </row>
    <row r="45">
      <c r="A45" s="16" t="n"/>
      <c r="B45" s="16" t="n"/>
      <c r="C45" s="17" t="n"/>
      <c r="D45" s="18" t="n"/>
      <c r="E45" s="16" t="n"/>
      <c r="F45" s="19" t="n"/>
      <c r="G45" s="19" t="n"/>
      <c r="H45" s="19" t="n"/>
      <c r="I45" s="16" t="n"/>
      <c r="J45" s="20">
        <f>IF(AND(E45="Quoted",F45&lt;&gt;"",TODAY()-F45&gt;=3),"Follow up",IF(E45="Done","Get paid",""))</f>
        <v/>
      </c>
    </row>
    <row r="46">
      <c r="A46" s="16" t="n"/>
      <c r="B46" s="16" t="n"/>
      <c r="C46" s="17" t="n"/>
      <c r="D46" s="18" t="n"/>
      <c r="E46" s="16" t="n"/>
      <c r="F46" s="19" t="n"/>
      <c r="G46" s="19" t="n"/>
      <c r="H46" s="19" t="n"/>
      <c r="I46" s="16" t="n"/>
      <c r="J46" s="20">
        <f>IF(AND(E46="Quoted",F46&lt;&gt;"",TODAY()-F46&gt;=3),"Follow up",IF(E46="Done","Get paid",""))</f>
        <v/>
      </c>
    </row>
    <row r="47">
      <c r="A47" s="16" t="n"/>
      <c r="B47" s="16" t="n"/>
      <c r="C47" s="17" t="n"/>
      <c r="D47" s="18" t="n"/>
      <c r="E47" s="16" t="n"/>
      <c r="F47" s="19" t="n"/>
      <c r="G47" s="19" t="n"/>
      <c r="H47" s="19" t="n"/>
      <c r="I47" s="16" t="n"/>
      <c r="J47" s="20">
        <f>IF(AND(E47="Quoted",F47&lt;&gt;"",TODAY()-F47&gt;=3),"Follow up",IF(E47="Done","Get paid",""))</f>
        <v/>
      </c>
    </row>
    <row r="48">
      <c r="A48" s="16" t="n"/>
      <c r="B48" s="16" t="n"/>
      <c r="C48" s="17" t="n"/>
      <c r="D48" s="18" t="n"/>
      <c r="E48" s="16" t="n"/>
      <c r="F48" s="19" t="n"/>
      <c r="G48" s="19" t="n"/>
      <c r="H48" s="19" t="n"/>
      <c r="I48" s="16" t="n"/>
      <c r="J48" s="20">
        <f>IF(AND(E48="Quoted",F48&lt;&gt;"",TODAY()-F48&gt;=3),"Follow up",IF(E48="Done","Get paid",""))</f>
        <v/>
      </c>
    </row>
    <row r="49">
      <c r="A49" s="16" t="n"/>
      <c r="B49" s="16" t="n"/>
      <c r="C49" s="17" t="n"/>
      <c r="D49" s="18" t="n"/>
      <c r="E49" s="16" t="n"/>
      <c r="F49" s="19" t="n"/>
      <c r="G49" s="19" t="n"/>
      <c r="H49" s="19" t="n"/>
      <c r="I49" s="16" t="n"/>
      <c r="J49" s="20">
        <f>IF(AND(E49="Quoted",F49&lt;&gt;"",TODAY()-F49&gt;=3),"Follow up",IF(E49="Done","Get paid",""))</f>
        <v/>
      </c>
    </row>
    <row r="50">
      <c r="A50" s="16" t="n"/>
      <c r="B50" s="16" t="n"/>
      <c r="C50" s="17" t="n"/>
      <c r="D50" s="18" t="n"/>
      <c r="E50" s="16" t="n"/>
      <c r="F50" s="19" t="n"/>
      <c r="G50" s="19" t="n"/>
      <c r="H50" s="19" t="n"/>
      <c r="I50" s="16" t="n"/>
      <c r="J50" s="20">
        <f>IF(AND(E50="Quoted",F50&lt;&gt;"",TODAY()-F50&gt;=3),"Follow up",IF(E50="Done","Get paid",""))</f>
        <v/>
      </c>
    </row>
    <row r="51">
      <c r="A51" s="16" t="n"/>
      <c r="B51" s="16" t="n"/>
      <c r="C51" s="17" t="n"/>
      <c r="D51" s="18" t="n"/>
      <c r="E51" s="16" t="n"/>
      <c r="F51" s="19" t="n"/>
      <c r="G51" s="19" t="n"/>
      <c r="H51" s="19" t="n"/>
      <c r="I51" s="16" t="n"/>
      <c r="J51" s="20">
        <f>IF(AND(E51="Quoted",F51&lt;&gt;"",TODAY()-F51&gt;=3),"Follow up",IF(E51="Done","Get paid",""))</f>
        <v/>
      </c>
    </row>
    <row r="52">
      <c r="A52" s="16" t="n"/>
      <c r="B52" s="16" t="n"/>
      <c r="C52" s="17" t="n"/>
      <c r="D52" s="18" t="n"/>
      <c r="E52" s="16" t="n"/>
      <c r="F52" s="19" t="n"/>
      <c r="G52" s="19" t="n"/>
      <c r="H52" s="19" t="n"/>
      <c r="I52" s="16" t="n"/>
      <c r="J52" s="20">
        <f>IF(AND(E52="Quoted",F52&lt;&gt;"",TODAY()-F52&gt;=3),"Follow up",IF(E52="Done","Get paid",""))</f>
        <v/>
      </c>
    </row>
    <row r="53">
      <c r="A53" s="16" t="n"/>
      <c r="B53" s="16" t="n"/>
      <c r="C53" s="17" t="n"/>
      <c r="D53" s="18" t="n"/>
      <c r="E53" s="16" t="n"/>
      <c r="F53" s="19" t="n"/>
      <c r="G53" s="19" t="n"/>
      <c r="H53" s="19" t="n"/>
      <c r="I53" s="16" t="n"/>
      <c r="J53" s="20">
        <f>IF(AND(E53="Quoted",F53&lt;&gt;"",TODAY()-F53&gt;=3),"Follow up",IF(E53="Done","Get paid",""))</f>
        <v/>
      </c>
    </row>
    <row r="54">
      <c r="A54" s="16" t="n"/>
      <c r="B54" s="16" t="n"/>
      <c r="C54" s="17" t="n"/>
      <c r="D54" s="18" t="n"/>
      <c r="E54" s="16" t="n"/>
      <c r="F54" s="19" t="n"/>
      <c r="G54" s="19" t="n"/>
      <c r="H54" s="19" t="n"/>
      <c r="I54" s="16" t="n"/>
      <c r="J54" s="20">
        <f>IF(AND(E54="Quoted",F54&lt;&gt;"",TODAY()-F54&gt;=3),"Follow up",IF(E54="Done","Get paid",""))</f>
        <v/>
      </c>
    </row>
    <row r="55">
      <c r="A55" s="16" t="n"/>
      <c r="B55" s="16" t="n"/>
      <c r="C55" s="17" t="n"/>
      <c r="D55" s="18" t="n"/>
      <c r="E55" s="16" t="n"/>
      <c r="F55" s="19" t="n"/>
      <c r="G55" s="19" t="n"/>
      <c r="H55" s="19" t="n"/>
      <c r="I55" s="16" t="n"/>
      <c r="J55" s="20">
        <f>IF(AND(E55="Quoted",F55&lt;&gt;"",TODAY()-F55&gt;=3),"Follow up",IF(E55="Done","Get paid",""))</f>
        <v/>
      </c>
    </row>
    <row r="56">
      <c r="A56" s="16" t="n"/>
      <c r="B56" s="16" t="n"/>
      <c r="C56" s="17" t="n"/>
      <c r="D56" s="18" t="n"/>
      <c r="E56" s="16" t="n"/>
      <c r="F56" s="19" t="n"/>
      <c r="G56" s="19" t="n"/>
      <c r="H56" s="19" t="n"/>
      <c r="I56" s="16" t="n"/>
      <c r="J56" s="20">
        <f>IF(AND(E56="Quoted",F56&lt;&gt;"",TODAY()-F56&gt;=3),"Follow up",IF(E56="Done","Get paid",""))</f>
        <v/>
      </c>
    </row>
    <row r="57">
      <c r="A57" s="16" t="n"/>
      <c r="B57" s="16" t="n"/>
      <c r="C57" s="17" t="n"/>
      <c r="D57" s="18" t="n"/>
      <c r="E57" s="16" t="n"/>
      <c r="F57" s="19" t="n"/>
      <c r="G57" s="19" t="n"/>
      <c r="H57" s="19" t="n"/>
      <c r="I57" s="16" t="n"/>
      <c r="J57" s="20">
        <f>IF(AND(E57="Quoted",F57&lt;&gt;"",TODAY()-F57&gt;=3),"Follow up",IF(E57="Done","Get paid",""))</f>
        <v/>
      </c>
    </row>
    <row r="58">
      <c r="A58" s="16" t="n"/>
      <c r="B58" s="16" t="n"/>
      <c r="C58" s="17" t="n"/>
      <c r="D58" s="18" t="n"/>
      <c r="E58" s="16" t="n"/>
      <c r="F58" s="19" t="n"/>
      <c r="G58" s="19" t="n"/>
      <c r="H58" s="19" t="n"/>
      <c r="I58" s="16" t="n"/>
      <c r="J58" s="20">
        <f>IF(AND(E58="Quoted",F58&lt;&gt;"",TODAY()-F58&gt;=3),"Follow up",IF(E58="Done","Get paid",""))</f>
        <v/>
      </c>
    </row>
    <row r="59">
      <c r="A59" s="16" t="n"/>
      <c r="B59" s="16" t="n"/>
      <c r="C59" s="17" t="n"/>
      <c r="D59" s="18" t="n"/>
      <c r="E59" s="16" t="n"/>
      <c r="F59" s="19" t="n"/>
      <c r="G59" s="19" t="n"/>
      <c r="H59" s="19" t="n"/>
      <c r="I59" s="16" t="n"/>
      <c r="J59" s="20">
        <f>IF(AND(E59="Quoted",F59&lt;&gt;"",TODAY()-F59&gt;=3),"Follow up",IF(E59="Done","Get paid",""))</f>
        <v/>
      </c>
    </row>
    <row r="60">
      <c r="A60" s="16" t="n"/>
      <c r="B60" s="16" t="n"/>
      <c r="C60" s="17" t="n"/>
      <c r="D60" s="18" t="n"/>
      <c r="E60" s="16" t="n"/>
      <c r="F60" s="19" t="n"/>
      <c r="G60" s="19" t="n"/>
      <c r="H60" s="19" t="n"/>
      <c r="I60" s="16" t="n"/>
      <c r="J60" s="20">
        <f>IF(AND(E60="Quoted",F60&lt;&gt;"",TODAY()-F60&gt;=3),"Follow up",IF(E60="Done","Get paid",""))</f>
        <v/>
      </c>
    </row>
    <row r="61">
      <c r="A61" s="16" t="n"/>
      <c r="B61" s="16" t="n"/>
      <c r="C61" s="17" t="n"/>
      <c r="D61" s="18" t="n"/>
      <c r="E61" s="16" t="n"/>
      <c r="F61" s="19" t="n"/>
      <c r="G61" s="19" t="n"/>
      <c r="H61" s="19" t="n"/>
      <c r="I61" s="16" t="n"/>
      <c r="J61" s="20">
        <f>IF(AND(E61="Quoted",F61&lt;&gt;"",TODAY()-F61&gt;=3),"Follow up",IF(E61="Done","Get paid",""))</f>
        <v/>
      </c>
    </row>
    <row r="62">
      <c r="A62" s="16" t="n"/>
      <c r="B62" s="16" t="n"/>
      <c r="C62" s="17" t="n"/>
      <c r="D62" s="18" t="n"/>
      <c r="E62" s="16" t="n"/>
      <c r="F62" s="19" t="n"/>
      <c r="G62" s="19" t="n"/>
      <c r="H62" s="19" t="n"/>
      <c r="I62" s="16" t="n"/>
      <c r="J62" s="20">
        <f>IF(AND(E62="Quoted",F62&lt;&gt;"",TODAY()-F62&gt;=3),"Follow up",IF(E62="Done","Get paid",""))</f>
        <v/>
      </c>
    </row>
    <row r="63">
      <c r="A63" s="16" t="n"/>
      <c r="B63" s="16" t="n"/>
      <c r="C63" s="17" t="n"/>
      <c r="D63" s="18" t="n"/>
      <c r="E63" s="16" t="n"/>
      <c r="F63" s="19" t="n"/>
      <c r="G63" s="19" t="n"/>
      <c r="H63" s="19" t="n"/>
      <c r="I63" s="16" t="n"/>
      <c r="J63" s="20">
        <f>IF(AND(E63="Quoted",F63&lt;&gt;"",TODAY()-F63&gt;=3),"Follow up",IF(E63="Done","Get paid",""))</f>
        <v/>
      </c>
    </row>
    <row r="64">
      <c r="A64" s="16" t="n"/>
      <c r="B64" s="16" t="n"/>
      <c r="C64" s="17" t="n"/>
      <c r="D64" s="18" t="n"/>
      <c r="E64" s="16" t="n"/>
      <c r="F64" s="19" t="n"/>
      <c r="G64" s="19" t="n"/>
      <c r="H64" s="19" t="n"/>
      <c r="I64" s="16" t="n"/>
      <c r="J64" s="20">
        <f>IF(AND(E64="Quoted",F64&lt;&gt;"",TODAY()-F64&gt;=3),"Follow up",IF(E64="Done","Get paid",""))</f>
        <v/>
      </c>
    </row>
    <row r="65">
      <c r="A65" s="16" t="n"/>
      <c r="B65" s="16" t="n"/>
      <c r="C65" s="17" t="n"/>
      <c r="D65" s="18" t="n"/>
      <c r="E65" s="16" t="n"/>
      <c r="F65" s="19" t="n"/>
      <c r="G65" s="19" t="n"/>
      <c r="H65" s="19" t="n"/>
      <c r="I65" s="16" t="n"/>
      <c r="J65" s="20">
        <f>IF(AND(E65="Quoted",F65&lt;&gt;"",TODAY()-F65&gt;=3),"Follow up",IF(E65="Done","Get paid",""))</f>
        <v/>
      </c>
    </row>
    <row r="66">
      <c r="A66" s="16" t="n"/>
      <c r="B66" s="16" t="n"/>
      <c r="C66" s="17" t="n"/>
      <c r="D66" s="18" t="n"/>
      <c r="E66" s="16" t="n"/>
      <c r="F66" s="19" t="n"/>
      <c r="G66" s="19" t="n"/>
      <c r="H66" s="19" t="n"/>
      <c r="I66" s="16" t="n"/>
      <c r="J66" s="20">
        <f>IF(AND(E66="Quoted",F66&lt;&gt;"",TODAY()-F66&gt;=3),"Follow up",IF(E66="Done","Get paid",""))</f>
        <v/>
      </c>
    </row>
    <row r="67">
      <c r="A67" s="16" t="n"/>
      <c r="B67" s="16" t="n"/>
      <c r="C67" s="17" t="n"/>
      <c r="D67" s="18" t="n"/>
      <c r="E67" s="16" t="n"/>
      <c r="F67" s="19" t="n"/>
      <c r="G67" s="19" t="n"/>
      <c r="H67" s="19" t="n"/>
      <c r="I67" s="16" t="n"/>
      <c r="J67" s="20">
        <f>IF(AND(E67="Quoted",F67&lt;&gt;"",TODAY()-F67&gt;=3),"Follow up",IF(E67="Done","Get paid",""))</f>
        <v/>
      </c>
    </row>
    <row r="68">
      <c r="A68" s="16" t="n"/>
      <c r="B68" s="16" t="n"/>
      <c r="C68" s="17" t="n"/>
      <c r="D68" s="18" t="n"/>
      <c r="E68" s="16" t="n"/>
      <c r="F68" s="19" t="n"/>
      <c r="G68" s="19" t="n"/>
      <c r="H68" s="19" t="n"/>
      <c r="I68" s="16" t="n"/>
      <c r="J68" s="20">
        <f>IF(AND(E68="Quoted",F68&lt;&gt;"",TODAY()-F68&gt;=3),"Follow up",IF(E68="Done","Get paid",""))</f>
        <v/>
      </c>
    </row>
    <row r="69">
      <c r="A69" s="16" t="n"/>
      <c r="B69" s="16" t="n"/>
      <c r="C69" s="17" t="n"/>
      <c r="D69" s="18" t="n"/>
      <c r="E69" s="16" t="n"/>
      <c r="F69" s="19" t="n"/>
      <c r="G69" s="19" t="n"/>
      <c r="H69" s="19" t="n"/>
      <c r="I69" s="16" t="n"/>
      <c r="J69" s="20">
        <f>IF(AND(E69="Quoted",F69&lt;&gt;"",TODAY()-F69&gt;=3),"Follow up",IF(E69="Done","Get paid",""))</f>
        <v/>
      </c>
    </row>
    <row r="70">
      <c r="A70" s="16" t="n"/>
      <c r="B70" s="16" t="n"/>
      <c r="C70" s="17" t="n"/>
      <c r="D70" s="18" t="n"/>
      <c r="E70" s="16" t="n"/>
      <c r="F70" s="19" t="n"/>
      <c r="G70" s="19" t="n"/>
      <c r="H70" s="19" t="n"/>
      <c r="I70" s="16" t="n"/>
      <c r="J70" s="20">
        <f>IF(AND(E70="Quoted",F70&lt;&gt;"",TODAY()-F70&gt;=3),"Follow up",IF(E70="Done","Get paid",""))</f>
        <v/>
      </c>
    </row>
    <row r="71">
      <c r="A71" s="16" t="n"/>
      <c r="B71" s="16" t="n"/>
      <c r="C71" s="17" t="n"/>
      <c r="D71" s="18" t="n"/>
      <c r="E71" s="16" t="n"/>
      <c r="F71" s="19" t="n"/>
      <c r="G71" s="19" t="n"/>
      <c r="H71" s="19" t="n"/>
      <c r="I71" s="16" t="n"/>
      <c r="J71" s="20">
        <f>IF(AND(E71="Quoted",F71&lt;&gt;"",TODAY()-F71&gt;=3),"Follow up",IF(E71="Done","Get paid",""))</f>
        <v/>
      </c>
    </row>
    <row r="72">
      <c r="A72" s="16" t="n"/>
      <c r="B72" s="16" t="n"/>
      <c r="C72" s="17" t="n"/>
      <c r="D72" s="18" t="n"/>
      <c r="E72" s="16" t="n"/>
      <c r="F72" s="19" t="n"/>
      <c r="G72" s="19" t="n"/>
      <c r="H72" s="19" t="n"/>
      <c r="I72" s="16" t="n"/>
      <c r="J72" s="20">
        <f>IF(AND(E72="Quoted",F72&lt;&gt;"",TODAY()-F72&gt;=3),"Follow up",IF(E72="Done","Get paid",""))</f>
        <v/>
      </c>
    </row>
    <row r="73">
      <c r="A73" s="16" t="n"/>
      <c r="B73" s="16" t="n"/>
      <c r="C73" s="17" t="n"/>
      <c r="D73" s="18" t="n"/>
      <c r="E73" s="16" t="n"/>
      <c r="F73" s="19" t="n"/>
      <c r="G73" s="19" t="n"/>
      <c r="H73" s="19" t="n"/>
      <c r="I73" s="16" t="n"/>
      <c r="J73" s="20">
        <f>IF(AND(E73="Quoted",F73&lt;&gt;"",TODAY()-F73&gt;=3),"Follow up",IF(E73="Done","Get paid",""))</f>
        <v/>
      </c>
    </row>
    <row r="74">
      <c r="A74" s="16" t="n"/>
      <c r="B74" s="16" t="n"/>
      <c r="C74" s="17" t="n"/>
      <c r="D74" s="18" t="n"/>
      <c r="E74" s="16" t="n"/>
      <c r="F74" s="19" t="n"/>
      <c r="G74" s="19" t="n"/>
      <c r="H74" s="19" t="n"/>
      <c r="I74" s="16" t="n"/>
      <c r="J74" s="20">
        <f>IF(AND(E74="Quoted",F74&lt;&gt;"",TODAY()-F74&gt;=3),"Follow up",IF(E74="Done","Get paid",""))</f>
        <v/>
      </c>
    </row>
    <row r="75">
      <c r="A75" s="16" t="n"/>
      <c r="B75" s="16" t="n"/>
      <c r="C75" s="17" t="n"/>
      <c r="D75" s="18" t="n"/>
      <c r="E75" s="16" t="n"/>
      <c r="F75" s="19" t="n"/>
      <c r="G75" s="19" t="n"/>
      <c r="H75" s="19" t="n"/>
      <c r="I75" s="16" t="n"/>
      <c r="J75" s="20">
        <f>IF(AND(E75="Quoted",F75&lt;&gt;"",TODAY()-F75&gt;=3),"Follow up",IF(E75="Done","Get paid",""))</f>
        <v/>
      </c>
    </row>
    <row r="76">
      <c r="A76" s="16" t="n"/>
      <c r="B76" s="16" t="n"/>
      <c r="C76" s="17" t="n"/>
      <c r="D76" s="18" t="n"/>
      <c r="E76" s="16" t="n"/>
      <c r="F76" s="19" t="n"/>
      <c r="G76" s="19" t="n"/>
      <c r="H76" s="19" t="n"/>
      <c r="I76" s="16" t="n"/>
      <c r="J76" s="20">
        <f>IF(AND(E76="Quoted",F76&lt;&gt;"",TODAY()-F76&gt;=3),"Follow up",IF(E76="Done","Get paid",""))</f>
        <v/>
      </c>
    </row>
    <row r="77">
      <c r="A77" s="16" t="n"/>
      <c r="B77" s="16" t="n"/>
      <c r="C77" s="17" t="n"/>
      <c r="D77" s="18" t="n"/>
      <c r="E77" s="16" t="n"/>
      <c r="F77" s="19" t="n"/>
      <c r="G77" s="19" t="n"/>
      <c r="H77" s="19" t="n"/>
      <c r="I77" s="16" t="n"/>
      <c r="J77" s="20">
        <f>IF(AND(E77="Quoted",F77&lt;&gt;"",TODAY()-F77&gt;=3),"Follow up",IF(E77="Done","Get paid",""))</f>
        <v/>
      </c>
    </row>
    <row r="78">
      <c r="A78" s="16" t="n"/>
      <c r="B78" s="16" t="n"/>
      <c r="C78" s="17" t="n"/>
      <c r="D78" s="18" t="n"/>
      <c r="E78" s="16" t="n"/>
      <c r="F78" s="19" t="n"/>
      <c r="G78" s="19" t="n"/>
      <c r="H78" s="19" t="n"/>
      <c r="I78" s="16" t="n"/>
      <c r="J78" s="20">
        <f>IF(AND(E78="Quoted",F78&lt;&gt;"",TODAY()-F78&gt;=3),"Follow up",IF(E78="Done","Get paid",""))</f>
        <v/>
      </c>
    </row>
    <row r="79">
      <c r="A79" s="16" t="n"/>
      <c r="B79" s="16" t="n"/>
      <c r="C79" s="17" t="n"/>
      <c r="D79" s="18" t="n"/>
      <c r="E79" s="16" t="n"/>
      <c r="F79" s="19" t="n"/>
      <c r="G79" s="19" t="n"/>
      <c r="H79" s="19" t="n"/>
      <c r="I79" s="16" t="n"/>
      <c r="J79" s="20">
        <f>IF(AND(E79="Quoted",F79&lt;&gt;"",TODAY()-F79&gt;=3),"Follow up",IF(E79="Done","Get paid",""))</f>
        <v/>
      </c>
    </row>
    <row r="80">
      <c r="A80" s="16" t="n"/>
      <c r="B80" s="16" t="n"/>
      <c r="C80" s="17" t="n"/>
      <c r="D80" s="18" t="n"/>
      <c r="E80" s="16" t="n"/>
      <c r="F80" s="19" t="n"/>
      <c r="G80" s="19" t="n"/>
      <c r="H80" s="19" t="n"/>
      <c r="I80" s="16" t="n"/>
      <c r="J80" s="20">
        <f>IF(AND(E80="Quoted",F80&lt;&gt;"",TODAY()-F80&gt;=3),"Follow up",IF(E80="Done","Get paid",""))</f>
        <v/>
      </c>
    </row>
    <row r="81">
      <c r="A81" s="16" t="n"/>
      <c r="B81" s="16" t="n"/>
      <c r="C81" s="17" t="n"/>
      <c r="D81" s="18" t="n"/>
      <c r="E81" s="16" t="n"/>
      <c r="F81" s="19" t="n"/>
      <c r="G81" s="19" t="n"/>
      <c r="H81" s="19" t="n"/>
      <c r="I81" s="16" t="n"/>
      <c r="J81" s="20">
        <f>IF(AND(E81="Quoted",F81&lt;&gt;"",TODAY()-F81&gt;=3),"Follow up",IF(E81="Done","Get paid",""))</f>
        <v/>
      </c>
    </row>
    <row r="82">
      <c r="A82" s="16" t="n"/>
      <c r="B82" s="16" t="n"/>
      <c r="C82" s="17" t="n"/>
      <c r="D82" s="18" t="n"/>
      <c r="E82" s="16" t="n"/>
      <c r="F82" s="19" t="n"/>
      <c r="G82" s="19" t="n"/>
      <c r="H82" s="19" t="n"/>
      <c r="I82" s="16" t="n"/>
      <c r="J82" s="20">
        <f>IF(AND(E82="Quoted",F82&lt;&gt;"",TODAY()-F82&gt;=3),"Follow up",IF(E82="Done","Get paid",""))</f>
        <v/>
      </c>
    </row>
    <row r="83">
      <c r="A83" s="16" t="n"/>
      <c r="B83" s="16" t="n"/>
      <c r="C83" s="17" t="n"/>
      <c r="D83" s="18" t="n"/>
      <c r="E83" s="16" t="n"/>
      <c r="F83" s="19" t="n"/>
      <c r="G83" s="19" t="n"/>
      <c r="H83" s="19" t="n"/>
      <c r="I83" s="16" t="n"/>
      <c r="J83" s="20">
        <f>IF(AND(E83="Quoted",F83&lt;&gt;"",TODAY()-F83&gt;=3),"Follow up",IF(E83="Done","Get paid",""))</f>
        <v/>
      </c>
    </row>
  </sheetData>
  <autoFilter ref="A3:J83"/>
  <conditionalFormatting sqref="J4:J83">
    <cfRule type="expression" priority="1" dxfId="0" stopIfTrue="0">
      <formula>$J4&lt;&gt;""</formula>
    </cfRule>
  </conditionalFormatting>
  <conditionalFormatting sqref="E4:E83">
    <cfRule type="expression" priority="2" dxfId="1" stopIfTrue="0">
      <formula>$E4="Paid"</formula>
    </cfRule>
    <cfRule type="expression" priority="3" dxfId="2" stopIfTrue="0">
      <formula>$E4="Lost"</formula>
    </cfRule>
  </conditionalFormatting>
  <dataValidations count="1">
    <dataValidation sqref="E4:E83" showDropDown="0" showInputMessage="0" showErrorMessage="0" allowBlank="1" type="list">
      <formula1>"Quoted,Booked,Done,Paid,Lost"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tabSelected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 ht="26" customHeight="1">
      <c r="A1" s="12" t="inlineStr">
        <is>
          <t>Jobs summary</t>
        </is>
      </c>
    </row>
    <row r="2">
      <c r="A2" s="13" t="inlineStr">
        <is>
          <t>Calculated from the Jobs tab.</t>
        </is>
      </c>
    </row>
    <row r="4">
      <c r="A4" s="1" t="inlineStr">
        <is>
          <t>WHERE THINGS STAND</t>
        </is>
      </c>
    </row>
    <row r="5">
      <c r="A5" s="21" t="inlineStr">
        <is>
          <t>Quotes sent</t>
        </is>
      </c>
      <c r="B5" s="22">
        <f>COUNTA('Jobs'!$A$4:$A$83)</f>
        <v/>
      </c>
    </row>
    <row r="6">
      <c r="A6" s="23" t="inlineStr">
        <is>
          <t>Quotes to follow up today</t>
        </is>
      </c>
      <c r="B6" s="24">
        <f>COUNTIF('Jobs'!$J$4:$J$83,"Follow up")</f>
        <v/>
      </c>
    </row>
    <row r="7">
      <c r="A7" s="21" t="inlineStr">
        <is>
          <t>Quotes decided (not still Quoted)</t>
        </is>
      </c>
      <c r="B7" s="22">
        <f>COUNTA('Jobs'!$E$4:$E$83)-COUNTIF('Jobs'!$E$4:$E$83,"Quoted")</f>
        <v/>
      </c>
    </row>
    <row r="8">
      <c r="A8" s="21" t="inlineStr">
        <is>
          <t>Win rate (booked, done or paid / decided)</t>
        </is>
      </c>
      <c r="B8" s="25">
        <f>IF($B$7&lt;=0,"",(COUNTIF('Jobs'!$E$4:$E$83,"Booked")+COUNTIF('Jobs'!$E$4:$E$83,"Done")+COUNTIF('Jobs'!$E$4:$E$83,"Paid"))/$B$7)</f>
        <v/>
      </c>
    </row>
    <row r="9">
      <c r="A9" s="21" t="inlineStr">
        <is>
          <t>Booked work ($)</t>
        </is>
      </c>
      <c r="B9" s="26">
        <f>SUMIF('Jobs'!$E$4:$E$83,"Booked",'Jobs'!$D$4:$D$83)</f>
        <v/>
      </c>
    </row>
    <row r="10">
      <c r="A10" s="23" t="inlineStr">
        <is>
          <t>Done, not paid yet ($)</t>
        </is>
      </c>
      <c r="B10" s="27">
        <f>SUMIF('Jobs'!$E$4:$E$83,"Done",'Jobs'!$D$4:$D$83)</f>
        <v/>
      </c>
    </row>
    <row r="11">
      <c r="A11" s="21" t="inlineStr">
        <is>
          <t>Paid ($)</t>
        </is>
      </c>
      <c r="B11" s="26">
        <f>SUMIF('Jobs'!$E$4:$E$83,"Paid",'Jobs'!$D$4:$D$83)</f>
        <v/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Jobs Tracker</dc:title>
  <dcterms:created xmlns:dcterms="http://purl.org/dc/terms/" xmlns:xsi="http://www.w3.org/2001/XMLSchema-instance" xsi:type="dcterms:W3CDTF">2026-10-20T03:40:47Z</dcterms:created>
  <dcterms:modified xmlns:dcterms="http://purl.org/dc/terms/" xmlns:xsi="http://www.w3.org/2001/XMLSchema-instance" xsi:type="dcterms:W3CDTF">2026-10-20T03:40:47Z</dcterms:modified>
</cp:coreProperties>
</file>