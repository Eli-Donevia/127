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th" sheetId="2" state="visible" r:id="rId2"/>
  </sheets>
  <definedNames/>
  <calcPr calcId="124519" fullCalcOnLoad="1"/>
</workbook>
</file>

<file path=xl/styles.xml><?xml version="1.0" encoding="utf-8"?>
<styleSheet xmlns="http://schemas.openxmlformats.org/spreadsheetml/2006/main">
  <numFmts count="4">
    <numFmt numFmtId="164" formatCode="&quot;$&quot;#,##0.00"/>
    <numFmt numFmtId="165" formatCode="0.0%"/>
    <numFmt numFmtId="166" formatCode="#,##0.0"/>
    <numFmt numFmtId="167" formatCode="&quot;$&quot;#,##0"/>
  </numFmts>
  <fonts count="12">
    <font>
      <name val="Calibri"/>
      <family val="2"/>
      <color theme="1"/>
      <sz val="11"/>
      <scheme val="minor"/>
    </font>
    <font>
      <name val="Arial"/>
      <b val="1"/>
      <color rgb="007B7B86"/>
      <sz val="9"/>
    </font>
    <font>
      <name val="Arial"/>
      <b val="1"/>
      <color rgb="00060607"/>
      <sz val="22"/>
    </font>
    <font>
      <name val="Arial"/>
      <color rgb="005A5A66"/>
      <sz val="11"/>
    </font>
    <font>
      <name val="Arial"/>
      <b val="1"/>
      <color rgb="001B1B20"/>
      <sz val="10"/>
    </font>
    <font>
      <name val="Arial"/>
      <color rgb="001B1B20"/>
      <sz val="11"/>
    </font>
    <font>
      <name val="Arial"/>
      <color rgb="001B1B20"/>
      <sz val="10"/>
    </font>
    <font>
      <name val="Arial"/>
      <color rgb="005A5A66"/>
      <sz val="10"/>
    </font>
    <font>
      <name val="Arial"/>
      <i val="1"/>
      <color rgb="005A5A66"/>
      <sz val="10"/>
    </font>
    <font>
      <name val="Arial"/>
      <color rgb="007B7B86"/>
      <sz val="8"/>
    </font>
    <font>
      <name val="Arial"/>
      <b val="1"/>
      <color rgb="00060607"/>
      <sz val="14"/>
    </font>
    <font>
      <name val="Arial"/>
      <color rgb="007B7B86"/>
      <sz val="9"/>
    </font>
  </fonts>
  <fills count="5">
    <fill>
      <patternFill/>
    </fill>
    <fill>
      <patternFill patternType="gray125"/>
    </fill>
    <fill>
      <patternFill patternType="solid">
        <fgColor rgb="00ECEEFB"/>
        <bgColor rgb="00ECEEFB"/>
      </patternFill>
    </fill>
    <fill>
      <patternFill patternType="solid">
        <fgColor rgb="00FFFFFF"/>
        <bgColor rgb="00FFFFFF"/>
      </patternFill>
    </fill>
    <fill>
      <patternFill patternType="solid">
        <fgColor rgb="00F2F2F5"/>
        <bgColor rgb="00F2F2F5"/>
      </patternFill>
    </fill>
  </fills>
  <borders count="3">
    <border>
      <left/>
      <right/>
      <top/>
      <bottom/>
      <diagonal/>
    </border>
    <border>
      <left style="thin">
        <color rgb="00D9D9DE"/>
      </left>
      <right style="thin">
        <color rgb="00D9D9DE"/>
      </right>
      <top style="thin">
        <color rgb="00D9D9DE"/>
      </top>
      <bottom style="thin">
        <color rgb="00D9D9DE"/>
      </bottom>
    </border>
    <border>
      <bottom style="thin">
        <color rgb="00D9D9DE"/>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wrapText="1"/>
    </xf>
    <xf numFmtId="0" fontId="5" fillId="0" borderId="0" applyAlignment="1" pivotButton="0" quotePrefix="0" xfId="0">
      <alignment vertical="top" wrapText="1"/>
    </xf>
    <xf numFmtId="0" fontId="6" fillId="3" borderId="1" pivotButton="0" quotePrefix="0" xfId="0"/>
    <xf numFmtId="0" fontId="6" fillId="4" borderId="1" pivotButton="0" quotePrefix="0" xfId="0"/>
    <xf numFmtId="0" fontId="6" fillId="2" borderId="1" pivotButton="0" quotePrefix="0" xfId="0"/>
    <xf numFmtId="0" fontId="7" fillId="0" borderId="0" applyAlignment="1" pivotButton="0" quotePrefix="0" xfId="0">
      <alignment wrapText="1"/>
    </xf>
    <xf numFmtId="0" fontId="8" fillId="0" borderId="0" applyAlignment="1" pivotButton="0" quotePrefix="0" xfId="0">
      <alignment wrapText="1"/>
    </xf>
    <xf numFmtId="0" fontId="4"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6" fillId="0" borderId="2" applyAlignment="1" pivotButton="0" quotePrefix="0" xfId="0">
      <alignment vertical="top" wrapText="1"/>
    </xf>
    <xf numFmtId="164" fontId="6" fillId="3" borderId="1" applyAlignment="1" pivotButton="0" quotePrefix="0" xfId="0">
      <alignment vertical="top" wrapText="1"/>
    </xf>
    <xf numFmtId="165" fontId="6" fillId="3" borderId="1" applyAlignment="1" pivotButton="0" quotePrefix="0" xfId="0">
      <alignment vertical="top" wrapText="1"/>
    </xf>
    <xf numFmtId="166" fontId="6" fillId="3" borderId="1" applyAlignment="1" pivotButton="0" quotePrefix="0" xfId="0">
      <alignment vertical="top" wrapText="1"/>
    </xf>
    <xf numFmtId="164" fontId="6" fillId="4" borderId="1" applyAlignment="1" pivotButton="0" quotePrefix="0" xfId="0">
      <alignment vertical="top" wrapText="1"/>
    </xf>
    <xf numFmtId="0" fontId="4" fillId="0" borderId="2" applyAlignment="1" pivotButton="0" quotePrefix="0" xfId="0">
      <alignment vertical="top" wrapText="1"/>
    </xf>
    <xf numFmtId="164" fontId="4" fillId="2" borderId="1" applyAlignment="1" pivotButton="0" quotePrefix="0" xfId="0">
      <alignment vertical="top" wrapText="1"/>
    </xf>
    <xf numFmtId="9" fontId="6" fillId="4" borderId="1" applyAlignment="1" pivotButton="0" quotePrefix="0" xfId="0">
      <alignment vertical="top" wrapText="1"/>
    </xf>
    <xf numFmtId="167" fontId="6" fillId="3" borderId="1" applyAlignment="1" pivotButton="0" quotePrefix="0" xfId="0">
      <alignment vertical="top" wrapText="1"/>
    </xf>
    <xf numFmtId="3" fontId="6" fillId="4" borderId="1" applyAlignment="1" pivotButton="0" quotePrefix="0" xfId="0">
      <alignment vertical="top" wrapText="1"/>
    </xf>
    <xf numFmtId="3" fontId="4" fillId="2" borderId="1" applyAlignment="1" pivotButton="0" quotePrefix="0" xfId="0">
      <alignment vertical="top" wrapText="1"/>
    </xf>
    <xf numFmtId="166" fontId="6" fillId="4" borderId="1" applyAlignment="1" pivotButton="0" quotePrefix="0" xfId="0">
      <alignment vertical="top" wrapText="1"/>
    </xf>
    <xf numFmtId="0" fontId="4"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127</author>
  </authors>
  <commentList>
    <comment ref="A8" authorId="0" shapeId="0">
      <text>
        <t>Look up your processor's current pricing page. Enter as a percent, e.g. 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9"/>
  <sheetViews>
    <sheetView showGridLines="0" tabSelected="1" workbookViewId="0">
      <selection activeCell="A1" sqref="A1"/>
    </sheetView>
  </sheetViews>
  <sheetFormatPr baseColWidth="8" defaultRowHeight="15"/>
  <cols>
    <col width="3" customWidth="1" min="1" max="1"/>
    <col width="96" customWidth="1" min="2" max="2"/>
  </cols>
  <sheetData>
    <row r="2">
      <c r="B2" s="1" t="inlineStr">
        <is>
          <t>127  ·  START TRACK  ·  BUILDER</t>
        </is>
      </c>
    </row>
    <row r="3" ht="34" customHeight="1">
      <c r="B3" s="2" t="inlineStr">
        <is>
          <t>First-Sale Math  (filled example)</t>
        </is>
      </c>
    </row>
    <row r="4" ht="30" customHeight="1">
      <c r="B4" s="3" t="inlineStr">
        <is>
          <t>Check that one sale makes you money after every cost, what you really earn per hour, and how many sales cover your startup costs.</t>
        </is>
      </c>
    </row>
    <row r="6" ht="30" customHeight="1">
      <c r="B6" s="4" t="inlineStr">
        <is>
          <t>This copy is filled in with a made-up example so you can see what good looks like. Use the blank file for your own business.</t>
        </is>
      </c>
    </row>
    <row r="8">
      <c r="B8" s="1" t="inlineStr">
        <is>
          <t>HOW TO USE IT</t>
        </is>
      </c>
    </row>
    <row r="9" ht="16" customHeight="1">
      <c r="B9" s="5" t="inlineStr">
        <is>
          <t>1.  Open the Math tab. Fill the white cells for your test price in column B.</t>
        </is>
      </c>
    </row>
    <row r="10" ht="16" customHeight="1">
      <c r="B10" s="5" t="inlineStr">
        <is>
          <t>2.  Add every cost one sale creates: supplies, packaging, shipping, platform and payment fees.</t>
        </is>
      </c>
    </row>
    <row r="11" ht="16" customHeight="1">
      <c r="B11" s="5" t="inlineStr">
        <is>
          <t>3.  Look up your payment processor's current fees and enter them. Don't guess.</t>
        </is>
      </c>
    </row>
    <row r="12" ht="16" customHeight="1">
      <c r="B12" s="5" t="inlineStr">
        <is>
          <t>4.  Enter the hours one sale takes you, start to finish, including messages.</t>
        </is>
      </c>
    </row>
    <row r="13" ht="16" customHeight="1">
      <c r="B13" s="5" t="inlineStr">
        <is>
          <t>5.  Try a lower and a higher price in columns C and D to compare.</t>
        </is>
      </c>
    </row>
    <row r="14" ht="16" customHeight="1">
      <c r="B14" s="5" t="inlineStr">
        <is>
          <t>6.  If one sale loses money, fix that before you spend a dollar on growth.</t>
        </is>
      </c>
    </row>
    <row r="16">
      <c r="B16" s="1" t="inlineStr">
        <is>
          <t>CELL COLORS</t>
        </is>
      </c>
    </row>
    <row r="17">
      <c r="B17" s="6" t="inlineStr">
        <is>
          <t>White cells: you type here.</t>
        </is>
      </c>
    </row>
    <row r="18">
      <c r="B18" s="7" t="inlineStr">
        <is>
          <t>Grey cells: calculated for you. Leave them alone.</t>
        </is>
      </c>
    </row>
    <row r="19">
      <c r="B19" s="8" t="inlineStr">
        <is>
          <t>Lilac cells: the answer you came for.</t>
        </is>
      </c>
    </row>
    <row r="21">
      <c r="B21" s="1" t="inlineStr">
        <is>
          <t>OPEN IT ANYWHERE</t>
        </is>
      </c>
    </row>
    <row r="22" ht="30" customHeight="1">
      <c r="B22" s="9" t="inlineStr">
        <is>
          <t>Google Sheets: go to sheets.new, then File &gt; Import &gt; Upload this file &gt; Replace spreadsheet. Formulas and dropdowns come with it.</t>
        </is>
      </c>
    </row>
    <row r="23" ht="15" customHeight="1">
      <c r="B23" s="9" t="inlineStr">
        <is>
          <t>Excel: double-click the file. Numbers on a Mac: open it with Numbers.</t>
        </is>
      </c>
    </row>
    <row r="24" ht="15" customHeight="1">
      <c r="B24" s="9" t="inlineStr">
        <is>
          <t>Phone: upload it to Google Drive, then open it in the Google Sheets app.</t>
        </is>
      </c>
    </row>
    <row r="26" ht="30" customHeight="1">
      <c r="B26" s="10" t="inlineStr">
        <is>
          <t>Example numbers in the filled copy are made up. This sheet is a planning tool, not financial or tax advice.</t>
        </is>
      </c>
    </row>
    <row r="28">
      <c r="B28" s="11" t="inlineStr">
        <is>
          <t>Make today day one.  ·  127group.io</t>
        </is>
      </c>
    </row>
    <row r="29">
      <c r="B29" s="12" t="inlineStr">
        <is>
          <t>Template drafted from Eli Christiansen's frameworks. © 127 Group LLC. For your own business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D31"/>
  <sheetViews>
    <sheetView showGridLines="0" tabSelected="0" workbookViewId="0">
      <selection activeCell="A1" sqref="A1"/>
    </sheetView>
  </sheetViews>
  <sheetFormatPr baseColWidth="8" defaultRowHeight="15"/>
  <cols>
    <col width="52" customWidth="1" min="1" max="1"/>
    <col width="16" customWidth="1" min="2" max="2"/>
    <col width="16" customWidth="1" min="3" max="3"/>
    <col width="16" customWidth="1" min="4" max="4"/>
  </cols>
  <sheetData>
    <row r="1" ht="26" customHeight="1">
      <c r="A1" s="13" t="inlineStr">
        <is>
          <t>First-Sale Math</t>
        </is>
      </c>
    </row>
    <row r="2">
      <c r="A2" s="14" t="inlineStr">
        <is>
          <t>Column C is your test price. B and D let you compare a lower and a higher price.</t>
        </is>
      </c>
    </row>
    <row r="4">
      <c r="A4" s="1" t="inlineStr">
        <is>
          <t>ONE SALE</t>
        </is>
      </c>
      <c r="B4" s="1" t="inlineStr">
        <is>
          <t>Lower price</t>
        </is>
      </c>
      <c r="C4" s="1" t="inlineStr">
        <is>
          <t>Test price</t>
        </is>
      </c>
      <c r="D4" s="1" t="inlineStr">
        <is>
          <t>Higher price</t>
        </is>
      </c>
    </row>
    <row r="5">
      <c r="A5" s="15" t="inlineStr">
        <is>
          <t>Price the customer pays ($)</t>
        </is>
      </c>
      <c r="B5" s="16" t="n">
        <v>25</v>
      </c>
      <c r="C5" s="16" t="n">
        <v>30</v>
      </c>
      <c r="D5" s="16" t="n">
        <v>40</v>
      </c>
    </row>
    <row r="6">
      <c r="A6" s="15" t="inlineStr">
        <is>
          <t>Supplies or materials per sale ($)</t>
        </is>
      </c>
      <c r="B6" s="16" t="n">
        <v>4</v>
      </c>
      <c r="C6" s="16" t="n">
        <v>4</v>
      </c>
      <c r="D6" s="16" t="n">
        <v>4.5</v>
      </c>
    </row>
    <row r="7">
      <c r="A7" s="15" t="inlineStr">
        <is>
          <t>Packaging and shipping you pay ($)</t>
        </is>
      </c>
      <c r="B7" s="16" t="n">
        <v>0</v>
      </c>
      <c r="C7" s="16" t="n">
        <v>0</v>
      </c>
      <c r="D7" s="16" t="n">
        <v>0</v>
      </c>
    </row>
    <row r="8">
      <c r="A8" s="15" t="inlineStr">
        <is>
          <t>Payment fee, percent (check your processor)</t>
        </is>
      </c>
      <c r="B8" s="17" t="n">
        <v>0.03</v>
      </c>
      <c r="C8" s="17" t="n">
        <v>0.03</v>
      </c>
      <c r="D8" s="17" t="n">
        <v>0.03</v>
      </c>
    </row>
    <row r="9">
      <c r="A9" s="15" t="inlineStr">
        <is>
          <t>Payment fee, fixed per sale ($)</t>
        </is>
      </c>
      <c r="B9" s="16" t="n">
        <v>0.3</v>
      </c>
      <c r="C9" s="16" t="n">
        <v>0.3</v>
      </c>
      <c r="D9" s="16" t="n">
        <v>0.3</v>
      </c>
    </row>
    <row r="10">
      <c r="A10" s="15" t="inlineStr">
        <is>
          <t>Platform or marketplace fee, percent</t>
        </is>
      </c>
      <c r="B10" s="17" t="n">
        <v>0</v>
      </c>
      <c r="C10" s="17" t="n">
        <v>0</v>
      </c>
      <c r="D10" s="17" t="n">
        <v>0</v>
      </c>
    </row>
    <row r="11">
      <c r="A11" s="15" t="inlineStr">
        <is>
          <t>Other cost per sale (gas, ads you can tie to one sale) ($)</t>
        </is>
      </c>
      <c r="B11" s="16" t="n">
        <v>1</v>
      </c>
      <c r="C11" s="16" t="n">
        <v>1</v>
      </c>
      <c r="D11" s="16" t="n">
        <v>1</v>
      </c>
    </row>
    <row r="12">
      <c r="A12" s="15" t="inlineStr">
        <is>
          <t>Hours one sale takes you, start to finish</t>
        </is>
      </c>
      <c r="B12" s="18" t="n">
        <v>0.75</v>
      </c>
      <c r="C12" s="18" t="n">
        <v>0.75</v>
      </c>
      <c r="D12" s="18" t="n">
        <v>0.9</v>
      </c>
    </row>
    <row r="14">
      <c r="A14" s="1" t="inlineStr">
        <is>
          <t>WHAT ONE SALE REALLY EARNS</t>
        </is>
      </c>
      <c r="B14" s="1" t="inlineStr">
        <is>
          <t>Lower price</t>
        </is>
      </c>
      <c r="C14" s="1" t="inlineStr">
        <is>
          <t>Test price</t>
        </is>
      </c>
      <c r="D14" s="1" t="inlineStr">
        <is>
          <t>Higher price</t>
        </is>
      </c>
    </row>
    <row r="15">
      <c r="A15" s="15" t="inlineStr">
        <is>
          <t>Total cost per sale ($)</t>
        </is>
      </c>
      <c r="B15" s="19">
        <f>IF(B5="","",N(B6)+N(B7)+B5*N(B8)+N(B9)+B5*N(B10)+N(B11))</f>
        <v/>
      </c>
      <c r="C15" s="19">
        <f>IF(C5="","",N(C6)+N(C7)+C5*N(C8)+N(C9)+C5*N(C10)+N(C11))</f>
        <v/>
      </c>
      <c r="D15" s="19">
        <f>IF(D5="","",N(D6)+N(D7)+D5*N(D8)+N(D9)+D5*N(D10)+N(D11))</f>
        <v/>
      </c>
    </row>
    <row r="16">
      <c r="A16" s="20" t="inlineStr">
        <is>
          <t>Profit per sale ($)</t>
        </is>
      </c>
      <c r="B16" s="21">
        <f>IF(B5="","",B5-B15)</f>
        <v/>
      </c>
      <c r="C16" s="21">
        <f>IF(C5="","",C5-C15)</f>
        <v/>
      </c>
      <c r="D16" s="21">
        <f>IF(D5="","",D5-D15)</f>
        <v/>
      </c>
    </row>
    <row r="17">
      <c r="A17" s="15" t="inlineStr">
        <is>
          <t>Margin (profit / price)</t>
        </is>
      </c>
      <c r="B17" s="22">
        <f>IF(OR(B5="",N(B5)=0),"",B16/B5)</f>
        <v/>
      </c>
      <c r="C17" s="22">
        <f>IF(OR(C5="",N(C5)=0),"",C16/C5)</f>
        <v/>
      </c>
      <c r="D17" s="22">
        <f>IF(OR(D5="",N(D5)=0),"",D16/D5)</f>
        <v/>
      </c>
    </row>
    <row r="18">
      <c r="A18" s="20" t="inlineStr">
        <is>
          <t>What you earn per hour ($)</t>
        </is>
      </c>
      <c r="B18" s="21">
        <f>IF(OR(B16="",N(B12)=0),"",B16/B12)</f>
        <v/>
      </c>
      <c r="C18" s="21">
        <f>IF(OR(C16="",N(C12)=0),"",C16/C12)</f>
        <v/>
      </c>
      <c r="D18" s="21">
        <f>IF(OR(D16="",N(D12)=0),"",D16/D12)</f>
        <v/>
      </c>
    </row>
    <row r="20">
      <c r="A20" s="1" t="inlineStr">
        <is>
          <t>YOUR GOALS</t>
        </is>
      </c>
    </row>
    <row r="21">
      <c r="A21" s="15" t="inlineStr">
        <is>
          <t>One-time costs to start: tools, supplies, domain ($)</t>
        </is>
      </c>
      <c r="B21" s="23" t="n">
        <v>120</v>
      </c>
    </row>
    <row r="22">
      <c r="A22" s="15" t="inlineStr">
        <is>
          <t>Monthly tool costs ($)</t>
        </is>
      </c>
      <c r="B22" s="23" t="n">
        <v>15</v>
      </c>
    </row>
    <row r="23">
      <c r="A23" s="15" t="inlineStr">
        <is>
          <t>Profit you want per month ($)</t>
        </is>
      </c>
      <c r="B23" s="23" t="n">
        <v>600</v>
      </c>
    </row>
    <row r="24">
      <c r="A24" s="15" t="inlineStr">
        <is>
          <t>The least you want to earn per hour ($)</t>
        </is>
      </c>
      <c r="B24" s="23" t="n">
        <v>20</v>
      </c>
    </row>
    <row r="26">
      <c r="A26" s="1" t="inlineStr">
        <is>
          <t>WHAT IT TAKES (AT YOUR TEST PRICE)</t>
        </is>
      </c>
    </row>
    <row r="27">
      <c r="A27" s="15" t="inlineStr">
        <is>
          <t>Sales to earn back your startup costs</t>
        </is>
      </c>
      <c r="B27" s="24">
        <f>IF(OR(N($C$16)&lt;=0,$B$21=""),"",ROUNDUP($B$21/$C$16,0))</f>
        <v/>
      </c>
    </row>
    <row r="28">
      <c r="A28" s="15" t="inlineStr">
        <is>
          <t>Sales per month to cover monthly tools</t>
        </is>
      </c>
      <c r="B28" s="24">
        <f>IF(OR(N($C$16)&lt;=0,$B$22=""),"",ROUNDUP($B$22/$C$16,0))</f>
        <v/>
      </c>
    </row>
    <row r="29">
      <c r="A29" s="20" t="inlineStr">
        <is>
          <t>Sales per month to hit your profit goal</t>
        </is>
      </c>
      <c r="B29" s="25">
        <f>IF(OR(N($C$16)&lt;=0,$B$23=""),"",ROUNDUP(($B$23+N($B$22))/$C$16,0))</f>
        <v/>
      </c>
    </row>
    <row r="30">
      <c r="A30" s="15" t="inlineStr">
        <is>
          <t>Hours per month that takes</t>
        </is>
      </c>
      <c r="B30" s="26">
        <f>IF($B$29="","",$B$29*N($C$12))</f>
        <v/>
      </c>
    </row>
    <row r="31" ht="44" customHeight="1">
      <c r="A31" s="20" t="inlineStr">
        <is>
          <t>Verdict</t>
        </is>
      </c>
      <c r="B31" s="27">
        <f>IF($C$5="","Fill in your test price in column C",IF(N($C$16)&lt;=0,"One sale loses money. Raise the price or cut a cost before anything else.",IF(AND($B$24&lt;&gt;"",$C$18&lt;&gt;"",N($C$18)&lt;$B$24),"One sale makes money, but pays you less per hour than your minimum. Raise the price, cut time per sale, or bundle.","One sale makes money. Now test the price with five real buyers.")))</f>
        <v/>
      </c>
    </row>
  </sheetData>
  <pageMargins left="0.75" right="0.75" top="1" bottom="1" header="0.5" footer="0.5"/>
  <pageSetup orientation="portrait"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127</dc:creator>
  <dc:title xmlns:dc="http://purl.org/dc/elements/1.1/">First-Sale Math</dc:title>
  <dcterms:created xmlns:dcterms="http://purl.org/dc/terms/" xmlns:xsi="http://www.w3.org/2001/XMLSchema-instance" xsi:type="dcterms:W3CDTF">2026-10-16T10:26:19Z</dcterms:created>
  <dcterms:modified xmlns:dcterms="http://purl.org/dc/terms/" xmlns:xsi="http://www.w3.org/2001/XMLSchema-instance" xsi:type="dcterms:W3CDTF">2026-10-16T10:26:19Z</dcterms:modified>
</cp:coreProperties>
</file>