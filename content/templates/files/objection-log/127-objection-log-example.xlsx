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FAQ" sheetId="3" state="visible" r:id="rId3"/>
  </sheets>
  <definedNames>
    <definedName name="_xlnm._FilterDatabase" localSheetId="1" hidden="1">'Log'!$A$3:$I$153</definedName>
    <definedName name="_xlnm.Print_Titles" localSheetId="1">'Log'!$3:$3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d, mmm d"/>
  </numFmts>
  <fonts count="13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164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DF3E7"/>
          <bgColor rgb="00DDF3E7"/>
        </patternFill>
      </fill>
    </dxf>
    <dxf>
      <fill>
        <patternFill patternType="solid">
          <fgColor rgb="00FFF3D6"/>
          <bgColor rgb="00FFF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Objection Log  (filled example)</t>
        </is>
      </c>
    </row>
    <row r="4" ht="30" customHeight="1">
      <c r="B4" s="3" t="inlineStr">
        <is>
          <t>Write down every "but" you hear in the words people used, see which objections come up most, and turn the top three into your FAQ.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Every time someone hesitates, add a row: their exact words, where you heard it and the type.</t>
        </is>
      </c>
    </row>
    <row r="10" ht="16" customHeight="1">
      <c r="B10" s="5" t="inlineStr">
        <is>
          <t>2.  Note whether they bought anyway and what you said that helped.</t>
        </is>
      </c>
    </row>
    <row r="11" ht="16" customHeight="1">
      <c r="B11" s="5" t="inlineStr">
        <is>
          <t>3.  Open the FAQ tab. The sheet counts each type so you can see the real pattern.</t>
        </is>
      </c>
    </row>
    <row r="12" ht="16" customHeight="1">
      <c r="B12" s="5" t="inlineStr">
        <is>
          <t>4.  Write a plain, true answer for the top three. Use their words in the question.</t>
        </is>
      </c>
    </row>
    <row r="13" ht="16" customHeight="1">
      <c r="B13" s="5" t="inlineStr">
        <is>
          <t>5.  Put those answers on your landing page FAQ and into saved replies. Mark them fixed.</t>
        </is>
      </c>
    </row>
    <row r="14" ht="16" customHeight="1">
      <c r="B14" s="5" t="inlineStr">
        <is>
          <t>6.  Each objection is also a post: a myth and the truth, or a question you answer on camera.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Answer objections honestly. If your offer isn't right for someone, say so and point them somewhere better.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5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38" customWidth="1" min="4" max="4"/>
    <col width="16" customWidth="1" min="5" max="5"/>
    <col width="10" customWidth="1" min="6" max="6"/>
    <col width="32" customWidth="1" min="7" max="7"/>
    <col width="10" customWidth="1" min="8" max="8"/>
    <col width="10" customWidth="1" min="9" max="9"/>
  </cols>
  <sheetData>
    <row r="1" ht="26" customHeight="1">
      <c r="A1" s="13" t="inlineStr">
        <is>
          <t>Objection Log</t>
        </is>
      </c>
    </row>
    <row r="2" ht="16" customHeight="1">
      <c r="A2" s="14" t="inlineStr">
        <is>
          <t>Exact words beat summaries. "Will it ruin my suede?" is more useful than "trust issue".</t>
        </is>
      </c>
    </row>
    <row r="3" ht="40" customHeight="1">
      <c r="A3" s="15" t="inlineStr">
        <is>
          <t>Date</t>
        </is>
      </c>
      <c r="B3" s="15" t="inlineStr">
        <is>
          <t>Who</t>
        </is>
      </c>
      <c r="C3" s="15" t="inlineStr">
        <is>
          <t>Where</t>
        </is>
      </c>
      <c r="D3" s="15" t="inlineStr">
        <is>
          <t>The objection, in their exact words</t>
        </is>
      </c>
      <c r="E3" s="15" t="inlineStr">
        <is>
          <t>Type</t>
        </is>
      </c>
      <c r="F3" s="15" t="inlineStr">
        <is>
          <t>Bought anyway?</t>
        </is>
      </c>
      <c r="G3" s="15" t="inlineStr">
        <is>
          <t>What you said, and did it help?</t>
        </is>
      </c>
      <c r="H3" s="15" t="inlineStr">
        <is>
          <t>Answered on your page?</t>
        </is>
      </c>
      <c r="I3" s="15" t="inlineStr">
        <is>
          <t>Turned into a post?</t>
        </is>
      </c>
    </row>
    <row r="4">
      <c r="A4" s="16">
        <f>DATE(2026,11,20)</f>
        <v/>
      </c>
      <c r="B4" s="17" t="inlineStr">
        <is>
          <t>Ray K.</t>
        </is>
      </c>
      <c r="C4" s="17" t="inlineStr">
        <is>
          <t>DM</t>
        </is>
      </c>
      <c r="D4" s="18" t="inlineStr">
        <is>
          <t>Will it ruin my suede?</t>
        </is>
      </c>
      <c r="E4" s="17" t="inlineStr">
        <is>
          <t>Trust</t>
        </is>
      </c>
      <c r="F4" s="17" t="inlineStr">
        <is>
          <t>Yes</t>
        </is>
      </c>
      <c r="G4" s="18" t="inlineStr">
        <is>
          <t>Sent a suede before and after. Helped.</t>
        </is>
      </c>
      <c r="H4" s="17" t="inlineStr">
        <is>
          <t>Yes</t>
        </is>
      </c>
      <c r="I4" s="17" t="inlineStr">
        <is>
          <t>Yes</t>
        </is>
      </c>
    </row>
    <row r="5">
      <c r="A5" s="16">
        <f>DATE(2026,11,20)</f>
        <v/>
      </c>
      <c r="B5" s="17" t="inlineStr">
        <is>
          <t>Jada</t>
        </is>
      </c>
      <c r="C5" s="17" t="inlineStr">
        <is>
          <t>Comment</t>
        </is>
      </c>
      <c r="D5" s="18" t="inlineStr">
        <is>
          <t>$30 is a lot for a clean.</t>
        </is>
      </c>
      <c r="E5" s="17" t="inlineStr">
        <is>
          <t>Price</t>
        </is>
      </c>
      <c r="F5" s="17" t="inlineStr">
        <is>
          <t>Not yet</t>
        </is>
      </c>
      <c r="G5" s="18" t="inlineStr">
        <is>
          <t>Compared it to $35 and a week at the mall shop.</t>
        </is>
      </c>
      <c r="H5" s="17" t="inlineStr">
        <is>
          <t>Yes</t>
        </is>
      </c>
      <c r="I5" s="17" t="inlineStr">
        <is>
          <t>No</t>
        </is>
      </c>
    </row>
    <row r="6">
      <c r="A6" s="16">
        <f>DATE(2026,11,21)</f>
        <v/>
      </c>
      <c r="B6" s="17" t="inlineStr">
        <is>
          <t>Omar</t>
        </is>
      </c>
      <c r="C6" s="17" t="inlineStr">
        <is>
          <t>In person</t>
        </is>
      </c>
      <c r="D6" s="18" t="inlineStr">
        <is>
          <t>How long do I go without my shoes?</t>
        </is>
      </c>
      <c r="E6" s="17" t="inlineStr">
        <is>
          <t>Timing</t>
        </is>
      </c>
      <c r="F6" s="17" t="inlineStr">
        <is>
          <t>Yes</t>
        </is>
      </c>
      <c r="G6" s="18" t="inlineStr">
        <is>
          <t>24 hours, pickup and drop-off.</t>
        </is>
      </c>
      <c r="H6" s="17" t="inlineStr">
        <is>
          <t>Yes</t>
        </is>
      </c>
      <c r="I6" s="17" t="inlineStr">
        <is>
          <t>Yes</t>
        </is>
      </c>
    </row>
    <row r="7">
      <c r="A7" s="16">
        <f>DATE(2026,11,21)</f>
        <v/>
      </c>
      <c r="B7" s="17" t="inlineStr">
        <is>
          <t>Sam</t>
        </is>
      </c>
      <c r="C7" s="17" t="inlineStr">
        <is>
          <t>DM</t>
        </is>
      </c>
      <c r="D7" s="18" t="inlineStr">
        <is>
          <t>What if they don't come out clean?</t>
        </is>
      </c>
      <c r="E7" s="17" t="inlineStr">
        <is>
          <t>Trust</t>
        </is>
      </c>
      <c r="F7" s="17" t="inlineStr">
        <is>
          <t>Yes</t>
        </is>
      </c>
      <c r="G7" s="18" t="inlineStr">
        <is>
          <t>Free redo, then money back.</t>
        </is>
      </c>
      <c r="H7" s="17" t="inlineStr">
        <is>
          <t>Yes</t>
        </is>
      </c>
      <c r="I7" s="17" t="inlineStr">
        <is>
          <t>No</t>
        </is>
      </c>
    </row>
    <row r="8">
      <c r="A8" s="16">
        <f>DATE(2026,11,22)</f>
        <v/>
      </c>
      <c r="B8" s="17" t="inlineStr">
        <is>
          <t>Chris</t>
        </is>
      </c>
      <c r="C8" s="17" t="inlineStr">
        <is>
          <t>DM</t>
        </is>
      </c>
      <c r="D8" s="18" t="inlineStr">
        <is>
          <t>Can't I just use a kit?</t>
        </is>
      </c>
      <c r="E8" s="17" t="inlineStr">
        <is>
          <t>Using something else</t>
        </is>
      </c>
      <c r="F8" s="17" t="inlineStr">
        <is>
          <t>No</t>
        </is>
      </c>
      <c r="G8" s="18" t="inlineStr">
        <is>
          <t>Said a kit works for basic dirt. Suede and creases are where I help.</t>
        </is>
      </c>
      <c r="H8" s="17" t="inlineStr">
        <is>
          <t>No</t>
        </is>
      </c>
      <c r="I8" s="17" t="inlineStr">
        <is>
          <t>Yes</t>
        </is>
      </c>
    </row>
    <row r="9">
      <c r="A9" s="16">
        <f>DATE(2026,11,22)</f>
        <v/>
      </c>
      <c r="B9" s="17" t="inlineStr">
        <is>
          <t>Leo</t>
        </is>
      </c>
      <c r="C9" s="17" t="inlineStr">
        <is>
          <t>Comment</t>
        </is>
      </c>
      <c r="D9" s="18" t="inlineStr">
        <is>
          <t>Is this legit? Never heard of you.</t>
        </is>
      </c>
      <c r="E9" s="17" t="inlineStr">
        <is>
          <t>Trust</t>
        </is>
      </c>
      <c r="F9" s="17" t="inlineStr">
        <is>
          <t>No</t>
        </is>
      </c>
      <c r="G9" s="18" t="inlineStr">
        <is>
          <t>Pointed to my before and after highlights.</t>
        </is>
      </c>
      <c r="H9" s="17" t="inlineStr">
        <is>
          <t>No</t>
        </is>
      </c>
      <c r="I9" s="17" t="inlineStr">
        <is>
          <t>No</t>
        </is>
      </c>
    </row>
    <row r="10">
      <c r="A10" s="16">
        <f>DATE(2026,11,23)</f>
        <v/>
      </c>
      <c r="B10" s="17" t="inlineStr">
        <is>
          <t>Ana</t>
        </is>
      </c>
      <c r="C10" s="17" t="inlineStr">
        <is>
          <t>DM</t>
        </is>
      </c>
      <c r="D10" s="18" t="inlineStr">
        <is>
          <t>Can I pay after I see them?</t>
        </is>
      </c>
      <c r="E10" s="17" t="inlineStr">
        <is>
          <t>Trust</t>
        </is>
      </c>
      <c r="F10" s="17" t="inlineStr">
        <is>
          <t>Yes</t>
        </is>
      </c>
      <c r="G10" s="18" t="inlineStr">
        <is>
          <t>Yes for first-time customers.</t>
        </is>
      </c>
      <c r="H10" s="17" t="inlineStr">
        <is>
          <t>No</t>
        </is>
      </c>
      <c r="I10" s="17" t="inlineStr">
        <is>
          <t>No</t>
        </is>
      </c>
    </row>
    <row r="11">
      <c r="A11" s="16">
        <f>DATE(2026,11,23)</f>
        <v/>
      </c>
      <c r="B11" s="17" t="inlineStr">
        <is>
          <t>Dev</t>
        </is>
      </c>
      <c r="C11" s="17" t="inlineStr">
        <is>
          <t>Call</t>
        </is>
      </c>
      <c r="D11" s="18" t="inlineStr">
        <is>
          <t>I'll wait until after finals.</t>
        </is>
      </c>
      <c r="E11" s="17" t="inlineStr">
        <is>
          <t>Timing</t>
        </is>
      </c>
      <c r="F11" s="17" t="inlineStr">
        <is>
          <t>Not yet</t>
        </is>
      </c>
      <c r="G11" s="18" t="inlineStr">
        <is>
          <t>Set a reminder for Dec 18.</t>
        </is>
      </c>
      <c r="H11" s="17" t="inlineStr">
        <is>
          <t>No</t>
        </is>
      </c>
      <c r="I11" s="17" t="inlineStr">
        <is>
          <t>No</t>
        </is>
      </c>
    </row>
    <row r="12">
      <c r="A12" s="16" t="n"/>
      <c r="B12" s="17" t="n"/>
      <c r="C12" s="17" t="n"/>
      <c r="D12" s="18" t="n"/>
      <c r="E12" s="17" t="n"/>
      <c r="F12" s="17" t="n"/>
      <c r="G12" s="18" t="n"/>
      <c r="H12" s="17" t="n"/>
      <c r="I12" s="17" t="n"/>
    </row>
    <row r="13">
      <c r="A13" s="16" t="n"/>
      <c r="B13" s="17" t="n"/>
      <c r="C13" s="17" t="n"/>
      <c r="D13" s="18" t="n"/>
      <c r="E13" s="17" t="n"/>
      <c r="F13" s="17" t="n"/>
      <c r="G13" s="18" t="n"/>
      <c r="H13" s="17" t="n"/>
      <c r="I13" s="17" t="n"/>
    </row>
    <row r="14">
      <c r="A14" s="16" t="n"/>
      <c r="B14" s="17" t="n"/>
      <c r="C14" s="17" t="n"/>
      <c r="D14" s="18" t="n"/>
      <c r="E14" s="17" t="n"/>
      <c r="F14" s="17" t="n"/>
      <c r="G14" s="18" t="n"/>
      <c r="H14" s="17" t="n"/>
      <c r="I14" s="17" t="n"/>
    </row>
    <row r="15">
      <c r="A15" s="16" t="n"/>
      <c r="B15" s="17" t="n"/>
      <c r="C15" s="17" t="n"/>
      <c r="D15" s="18" t="n"/>
      <c r="E15" s="17" t="n"/>
      <c r="F15" s="17" t="n"/>
      <c r="G15" s="18" t="n"/>
      <c r="H15" s="17" t="n"/>
      <c r="I15" s="17" t="n"/>
    </row>
    <row r="16">
      <c r="A16" s="16" t="n"/>
      <c r="B16" s="17" t="n"/>
      <c r="C16" s="17" t="n"/>
      <c r="D16" s="18" t="n"/>
      <c r="E16" s="17" t="n"/>
      <c r="F16" s="17" t="n"/>
      <c r="G16" s="18" t="n"/>
      <c r="H16" s="17" t="n"/>
      <c r="I16" s="17" t="n"/>
    </row>
    <row r="17">
      <c r="A17" s="16" t="n"/>
      <c r="B17" s="17" t="n"/>
      <c r="C17" s="17" t="n"/>
      <c r="D17" s="18" t="n"/>
      <c r="E17" s="17" t="n"/>
      <c r="F17" s="17" t="n"/>
      <c r="G17" s="18" t="n"/>
      <c r="H17" s="17" t="n"/>
      <c r="I17" s="17" t="n"/>
    </row>
    <row r="18">
      <c r="A18" s="16" t="n"/>
      <c r="B18" s="17" t="n"/>
      <c r="C18" s="17" t="n"/>
      <c r="D18" s="18" t="n"/>
      <c r="E18" s="17" t="n"/>
      <c r="F18" s="17" t="n"/>
      <c r="G18" s="18" t="n"/>
      <c r="H18" s="17" t="n"/>
      <c r="I18" s="17" t="n"/>
    </row>
    <row r="19">
      <c r="A19" s="16" t="n"/>
      <c r="B19" s="17" t="n"/>
      <c r="C19" s="17" t="n"/>
      <c r="D19" s="18" t="n"/>
      <c r="E19" s="17" t="n"/>
      <c r="F19" s="17" t="n"/>
      <c r="G19" s="18" t="n"/>
      <c r="H19" s="17" t="n"/>
      <c r="I19" s="17" t="n"/>
    </row>
    <row r="20">
      <c r="A20" s="16" t="n"/>
      <c r="B20" s="17" t="n"/>
      <c r="C20" s="17" t="n"/>
      <c r="D20" s="18" t="n"/>
      <c r="E20" s="17" t="n"/>
      <c r="F20" s="17" t="n"/>
      <c r="G20" s="18" t="n"/>
      <c r="H20" s="17" t="n"/>
      <c r="I20" s="17" t="n"/>
    </row>
    <row r="21">
      <c r="A21" s="16" t="n"/>
      <c r="B21" s="17" t="n"/>
      <c r="C21" s="17" t="n"/>
      <c r="D21" s="18" t="n"/>
      <c r="E21" s="17" t="n"/>
      <c r="F21" s="17" t="n"/>
      <c r="G21" s="18" t="n"/>
      <c r="H21" s="17" t="n"/>
      <c r="I21" s="17" t="n"/>
    </row>
    <row r="22">
      <c r="A22" s="16" t="n"/>
      <c r="B22" s="17" t="n"/>
      <c r="C22" s="17" t="n"/>
      <c r="D22" s="18" t="n"/>
      <c r="E22" s="17" t="n"/>
      <c r="F22" s="17" t="n"/>
      <c r="G22" s="18" t="n"/>
      <c r="H22" s="17" t="n"/>
      <c r="I22" s="17" t="n"/>
    </row>
    <row r="23">
      <c r="A23" s="16" t="n"/>
      <c r="B23" s="17" t="n"/>
      <c r="C23" s="17" t="n"/>
      <c r="D23" s="18" t="n"/>
      <c r="E23" s="17" t="n"/>
      <c r="F23" s="17" t="n"/>
      <c r="G23" s="18" t="n"/>
      <c r="H23" s="17" t="n"/>
      <c r="I23" s="17" t="n"/>
    </row>
    <row r="24">
      <c r="A24" s="16" t="n"/>
      <c r="B24" s="17" t="n"/>
      <c r="C24" s="17" t="n"/>
      <c r="D24" s="18" t="n"/>
      <c r="E24" s="17" t="n"/>
      <c r="F24" s="17" t="n"/>
      <c r="G24" s="18" t="n"/>
      <c r="H24" s="17" t="n"/>
      <c r="I24" s="17" t="n"/>
    </row>
    <row r="25">
      <c r="A25" s="16" t="n"/>
      <c r="B25" s="17" t="n"/>
      <c r="C25" s="17" t="n"/>
      <c r="D25" s="18" t="n"/>
      <c r="E25" s="17" t="n"/>
      <c r="F25" s="17" t="n"/>
      <c r="G25" s="18" t="n"/>
      <c r="H25" s="17" t="n"/>
      <c r="I25" s="17" t="n"/>
    </row>
    <row r="26">
      <c r="A26" s="16" t="n"/>
      <c r="B26" s="17" t="n"/>
      <c r="C26" s="17" t="n"/>
      <c r="D26" s="18" t="n"/>
      <c r="E26" s="17" t="n"/>
      <c r="F26" s="17" t="n"/>
      <c r="G26" s="18" t="n"/>
      <c r="H26" s="17" t="n"/>
      <c r="I26" s="17" t="n"/>
    </row>
    <row r="27">
      <c r="A27" s="16" t="n"/>
      <c r="B27" s="17" t="n"/>
      <c r="C27" s="17" t="n"/>
      <c r="D27" s="18" t="n"/>
      <c r="E27" s="17" t="n"/>
      <c r="F27" s="17" t="n"/>
      <c r="G27" s="18" t="n"/>
      <c r="H27" s="17" t="n"/>
      <c r="I27" s="17" t="n"/>
    </row>
    <row r="28">
      <c r="A28" s="16" t="n"/>
      <c r="B28" s="17" t="n"/>
      <c r="C28" s="17" t="n"/>
      <c r="D28" s="18" t="n"/>
      <c r="E28" s="17" t="n"/>
      <c r="F28" s="17" t="n"/>
      <c r="G28" s="18" t="n"/>
      <c r="H28" s="17" t="n"/>
      <c r="I28" s="17" t="n"/>
    </row>
    <row r="29">
      <c r="A29" s="16" t="n"/>
      <c r="B29" s="17" t="n"/>
      <c r="C29" s="17" t="n"/>
      <c r="D29" s="18" t="n"/>
      <c r="E29" s="17" t="n"/>
      <c r="F29" s="17" t="n"/>
      <c r="G29" s="18" t="n"/>
      <c r="H29" s="17" t="n"/>
      <c r="I29" s="17" t="n"/>
    </row>
    <row r="30">
      <c r="A30" s="16" t="n"/>
      <c r="B30" s="17" t="n"/>
      <c r="C30" s="17" t="n"/>
      <c r="D30" s="18" t="n"/>
      <c r="E30" s="17" t="n"/>
      <c r="F30" s="17" t="n"/>
      <c r="G30" s="18" t="n"/>
      <c r="H30" s="17" t="n"/>
      <c r="I30" s="17" t="n"/>
    </row>
    <row r="31">
      <c r="A31" s="16" t="n"/>
      <c r="B31" s="17" t="n"/>
      <c r="C31" s="17" t="n"/>
      <c r="D31" s="18" t="n"/>
      <c r="E31" s="17" t="n"/>
      <c r="F31" s="17" t="n"/>
      <c r="G31" s="18" t="n"/>
      <c r="H31" s="17" t="n"/>
      <c r="I31" s="17" t="n"/>
    </row>
    <row r="32">
      <c r="A32" s="16" t="n"/>
      <c r="B32" s="17" t="n"/>
      <c r="C32" s="17" t="n"/>
      <c r="D32" s="18" t="n"/>
      <c r="E32" s="17" t="n"/>
      <c r="F32" s="17" t="n"/>
      <c r="G32" s="18" t="n"/>
      <c r="H32" s="17" t="n"/>
      <c r="I32" s="17" t="n"/>
    </row>
    <row r="33">
      <c r="A33" s="16" t="n"/>
      <c r="B33" s="17" t="n"/>
      <c r="C33" s="17" t="n"/>
      <c r="D33" s="18" t="n"/>
      <c r="E33" s="17" t="n"/>
      <c r="F33" s="17" t="n"/>
      <c r="G33" s="18" t="n"/>
      <c r="H33" s="17" t="n"/>
      <c r="I33" s="17" t="n"/>
    </row>
    <row r="34">
      <c r="A34" s="16" t="n"/>
      <c r="B34" s="17" t="n"/>
      <c r="C34" s="17" t="n"/>
      <c r="D34" s="18" t="n"/>
      <c r="E34" s="17" t="n"/>
      <c r="F34" s="17" t="n"/>
      <c r="G34" s="18" t="n"/>
      <c r="H34" s="17" t="n"/>
      <c r="I34" s="17" t="n"/>
    </row>
    <row r="35">
      <c r="A35" s="16" t="n"/>
      <c r="B35" s="17" t="n"/>
      <c r="C35" s="17" t="n"/>
      <c r="D35" s="18" t="n"/>
      <c r="E35" s="17" t="n"/>
      <c r="F35" s="17" t="n"/>
      <c r="G35" s="18" t="n"/>
      <c r="H35" s="17" t="n"/>
      <c r="I35" s="17" t="n"/>
    </row>
    <row r="36">
      <c r="A36" s="16" t="n"/>
      <c r="B36" s="17" t="n"/>
      <c r="C36" s="17" t="n"/>
      <c r="D36" s="18" t="n"/>
      <c r="E36" s="17" t="n"/>
      <c r="F36" s="17" t="n"/>
      <c r="G36" s="18" t="n"/>
      <c r="H36" s="17" t="n"/>
      <c r="I36" s="17" t="n"/>
    </row>
    <row r="37">
      <c r="A37" s="16" t="n"/>
      <c r="B37" s="17" t="n"/>
      <c r="C37" s="17" t="n"/>
      <c r="D37" s="18" t="n"/>
      <c r="E37" s="17" t="n"/>
      <c r="F37" s="17" t="n"/>
      <c r="G37" s="18" t="n"/>
      <c r="H37" s="17" t="n"/>
      <c r="I37" s="17" t="n"/>
    </row>
    <row r="38">
      <c r="A38" s="16" t="n"/>
      <c r="B38" s="17" t="n"/>
      <c r="C38" s="17" t="n"/>
      <c r="D38" s="18" t="n"/>
      <c r="E38" s="17" t="n"/>
      <c r="F38" s="17" t="n"/>
      <c r="G38" s="18" t="n"/>
      <c r="H38" s="17" t="n"/>
      <c r="I38" s="17" t="n"/>
    </row>
    <row r="39">
      <c r="A39" s="16" t="n"/>
      <c r="B39" s="17" t="n"/>
      <c r="C39" s="17" t="n"/>
      <c r="D39" s="18" t="n"/>
      <c r="E39" s="17" t="n"/>
      <c r="F39" s="17" t="n"/>
      <c r="G39" s="18" t="n"/>
      <c r="H39" s="17" t="n"/>
      <c r="I39" s="17" t="n"/>
    </row>
    <row r="40">
      <c r="A40" s="16" t="n"/>
      <c r="B40" s="17" t="n"/>
      <c r="C40" s="17" t="n"/>
      <c r="D40" s="18" t="n"/>
      <c r="E40" s="17" t="n"/>
      <c r="F40" s="17" t="n"/>
      <c r="G40" s="18" t="n"/>
      <c r="H40" s="17" t="n"/>
      <c r="I40" s="17" t="n"/>
    </row>
    <row r="41">
      <c r="A41" s="16" t="n"/>
      <c r="B41" s="17" t="n"/>
      <c r="C41" s="17" t="n"/>
      <c r="D41" s="18" t="n"/>
      <c r="E41" s="17" t="n"/>
      <c r="F41" s="17" t="n"/>
      <c r="G41" s="18" t="n"/>
      <c r="H41" s="17" t="n"/>
      <c r="I41" s="17" t="n"/>
    </row>
    <row r="42">
      <c r="A42" s="16" t="n"/>
      <c r="B42" s="17" t="n"/>
      <c r="C42" s="17" t="n"/>
      <c r="D42" s="18" t="n"/>
      <c r="E42" s="17" t="n"/>
      <c r="F42" s="17" t="n"/>
      <c r="G42" s="18" t="n"/>
      <c r="H42" s="17" t="n"/>
      <c r="I42" s="17" t="n"/>
    </row>
    <row r="43">
      <c r="A43" s="16" t="n"/>
      <c r="B43" s="17" t="n"/>
      <c r="C43" s="17" t="n"/>
      <c r="D43" s="18" t="n"/>
      <c r="E43" s="17" t="n"/>
      <c r="F43" s="17" t="n"/>
      <c r="G43" s="18" t="n"/>
      <c r="H43" s="17" t="n"/>
      <c r="I43" s="17" t="n"/>
    </row>
    <row r="44">
      <c r="A44" s="16" t="n"/>
      <c r="B44" s="17" t="n"/>
      <c r="C44" s="17" t="n"/>
      <c r="D44" s="18" t="n"/>
      <c r="E44" s="17" t="n"/>
      <c r="F44" s="17" t="n"/>
      <c r="G44" s="18" t="n"/>
      <c r="H44" s="17" t="n"/>
      <c r="I44" s="17" t="n"/>
    </row>
    <row r="45">
      <c r="A45" s="16" t="n"/>
      <c r="B45" s="17" t="n"/>
      <c r="C45" s="17" t="n"/>
      <c r="D45" s="18" t="n"/>
      <c r="E45" s="17" t="n"/>
      <c r="F45" s="17" t="n"/>
      <c r="G45" s="18" t="n"/>
      <c r="H45" s="17" t="n"/>
      <c r="I45" s="17" t="n"/>
    </row>
    <row r="46">
      <c r="A46" s="16" t="n"/>
      <c r="B46" s="17" t="n"/>
      <c r="C46" s="17" t="n"/>
      <c r="D46" s="18" t="n"/>
      <c r="E46" s="17" t="n"/>
      <c r="F46" s="17" t="n"/>
      <c r="G46" s="18" t="n"/>
      <c r="H46" s="17" t="n"/>
      <c r="I46" s="17" t="n"/>
    </row>
    <row r="47">
      <c r="A47" s="16" t="n"/>
      <c r="B47" s="17" t="n"/>
      <c r="C47" s="17" t="n"/>
      <c r="D47" s="18" t="n"/>
      <c r="E47" s="17" t="n"/>
      <c r="F47" s="17" t="n"/>
      <c r="G47" s="18" t="n"/>
      <c r="H47" s="17" t="n"/>
      <c r="I47" s="17" t="n"/>
    </row>
    <row r="48">
      <c r="A48" s="16" t="n"/>
      <c r="B48" s="17" t="n"/>
      <c r="C48" s="17" t="n"/>
      <c r="D48" s="18" t="n"/>
      <c r="E48" s="17" t="n"/>
      <c r="F48" s="17" t="n"/>
      <c r="G48" s="18" t="n"/>
      <c r="H48" s="17" t="n"/>
      <c r="I48" s="17" t="n"/>
    </row>
    <row r="49">
      <c r="A49" s="16" t="n"/>
      <c r="B49" s="17" t="n"/>
      <c r="C49" s="17" t="n"/>
      <c r="D49" s="18" t="n"/>
      <c r="E49" s="17" t="n"/>
      <c r="F49" s="17" t="n"/>
      <c r="G49" s="18" t="n"/>
      <c r="H49" s="17" t="n"/>
      <c r="I49" s="17" t="n"/>
    </row>
    <row r="50">
      <c r="A50" s="16" t="n"/>
      <c r="B50" s="17" t="n"/>
      <c r="C50" s="17" t="n"/>
      <c r="D50" s="18" t="n"/>
      <c r="E50" s="17" t="n"/>
      <c r="F50" s="17" t="n"/>
      <c r="G50" s="18" t="n"/>
      <c r="H50" s="17" t="n"/>
      <c r="I50" s="17" t="n"/>
    </row>
    <row r="51">
      <c r="A51" s="16" t="n"/>
      <c r="B51" s="17" t="n"/>
      <c r="C51" s="17" t="n"/>
      <c r="D51" s="18" t="n"/>
      <c r="E51" s="17" t="n"/>
      <c r="F51" s="17" t="n"/>
      <c r="G51" s="18" t="n"/>
      <c r="H51" s="17" t="n"/>
      <c r="I51" s="17" t="n"/>
    </row>
    <row r="52">
      <c r="A52" s="16" t="n"/>
      <c r="B52" s="17" t="n"/>
      <c r="C52" s="17" t="n"/>
      <c r="D52" s="18" t="n"/>
      <c r="E52" s="17" t="n"/>
      <c r="F52" s="17" t="n"/>
      <c r="G52" s="18" t="n"/>
      <c r="H52" s="17" t="n"/>
      <c r="I52" s="17" t="n"/>
    </row>
    <row r="53">
      <c r="A53" s="16" t="n"/>
      <c r="B53" s="17" t="n"/>
      <c r="C53" s="17" t="n"/>
      <c r="D53" s="18" t="n"/>
      <c r="E53" s="17" t="n"/>
      <c r="F53" s="17" t="n"/>
      <c r="G53" s="18" t="n"/>
      <c r="H53" s="17" t="n"/>
      <c r="I53" s="17" t="n"/>
    </row>
    <row r="54">
      <c r="A54" s="16" t="n"/>
      <c r="B54" s="17" t="n"/>
      <c r="C54" s="17" t="n"/>
      <c r="D54" s="18" t="n"/>
      <c r="E54" s="17" t="n"/>
      <c r="F54" s="17" t="n"/>
      <c r="G54" s="18" t="n"/>
      <c r="H54" s="17" t="n"/>
      <c r="I54" s="17" t="n"/>
    </row>
    <row r="55">
      <c r="A55" s="16" t="n"/>
      <c r="B55" s="17" t="n"/>
      <c r="C55" s="17" t="n"/>
      <c r="D55" s="18" t="n"/>
      <c r="E55" s="17" t="n"/>
      <c r="F55" s="17" t="n"/>
      <c r="G55" s="18" t="n"/>
      <c r="H55" s="17" t="n"/>
      <c r="I55" s="17" t="n"/>
    </row>
    <row r="56">
      <c r="A56" s="16" t="n"/>
      <c r="B56" s="17" t="n"/>
      <c r="C56" s="17" t="n"/>
      <c r="D56" s="18" t="n"/>
      <c r="E56" s="17" t="n"/>
      <c r="F56" s="17" t="n"/>
      <c r="G56" s="18" t="n"/>
      <c r="H56" s="17" t="n"/>
      <c r="I56" s="17" t="n"/>
    </row>
    <row r="57">
      <c r="A57" s="16" t="n"/>
      <c r="B57" s="17" t="n"/>
      <c r="C57" s="17" t="n"/>
      <c r="D57" s="18" t="n"/>
      <c r="E57" s="17" t="n"/>
      <c r="F57" s="17" t="n"/>
      <c r="G57" s="18" t="n"/>
      <c r="H57" s="17" t="n"/>
      <c r="I57" s="17" t="n"/>
    </row>
    <row r="58">
      <c r="A58" s="16" t="n"/>
      <c r="B58" s="17" t="n"/>
      <c r="C58" s="17" t="n"/>
      <c r="D58" s="18" t="n"/>
      <c r="E58" s="17" t="n"/>
      <c r="F58" s="17" t="n"/>
      <c r="G58" s="18" t="n"/>
      <c r="H58" s="17" t="n"/>
      <c r="I58" s="17" t="n"/>
    </row>
    <row r="59">
      <c r="A59" s="16" t="n"/>
      <c r="B59" s="17" t="n"/>
      <c r="C59" s="17" t="n"/>
      <c r="D59" s="18" t="n"/>
      <c r="E59" s="17" t="n"/>
      <c r="F59" s="17" t="n"/>
      <c r="G59" s="18" t="n"/>
      <c r="H59" s="17" t="n"/>
      <c r="I59" s="17" t="n"/>
    </row>
    <row r="60">
      <c r="A60" s="16" t="n"/>
      <c r="B60" s="17" t="n"/>
      <c r="C60" s="17" t="n"/>
      <c r="D60" s="18" t="n"/>
      <c r="E60" s="17" t="n"/>
      <c r="F60" s="17" t="n"/>
      <c r="G60" s="18" t="n"/>
      <c r="H60" s="17" t="n"/>
      <c r="I60" s="17" t="n"/>
    </row>
    <row r="61">
      <c r="A61" s="16" t="n"/>
      <c r="B61" s="17" t="n"/>
      <c r="C61" s="17" t="n"/>
      <c r="D61" s="18" t="n"/>
      <c r="E61" s="17" t="n"/>
      <c r="F61" s="17" t="n"/>
      <c r="G61" s="18" t="n"/>
      <c r="H61" s="17" t="n"/>
      <c r="I61" s="17" t="n"/>
    </row>
    <row r="62">
      <c r="A62" s="16" t="n"/>
      <c r="B62" s="17" t="n"/>
      <c r="C62" s="17" t="n"/>
      <c r="D62" s="18" t="n"/>
      <c r="E62" s="17" t="n"/>
      <c r="F62" s="17" t="n"/>
      <c r="G62" s="18" t="n"/>
      <c r="H62" s="17" t="n"/>
      <c r="I62" s="17" t="n"/>
    </row>
    <row r="63">
      <c r="A63" s="16" t="n"/>
      <c r="B63" s="17" t="n"/>
      <c r="C63" s="17" t="n"/>
      <c r="D63" s="18" t="n"/>
      <c r="E63" s="17" t="n"/>
      <c r="F63" s="17" t="n"/>
      <c r="G63" s="18" t="n"/>
      <c r="H63" s="17" t="n"/>
      <c r="I63" s="17" t="n"/>
    </row>
    <row r="64">
      <c r="A64" s="16" t="n"/>
      <c r="B64" s="17" t="n"/>
      <c r="C64" s="17" t="n"/>
      <c r="D64" s="18" t="n"/>
      <c r="E64" s="17" t="n"/>
      <c r="F64" s="17" t="n"/>
      <c r="G64" s="18" t="n"/>
      <c r="H64" s="17" t="n"/>
      <c r="I64" s="17" t="n"/>
    </row>
    <row r="65">
      <c r="A65" s="16" t="n"/>
      <c r="B65" s="17" t="n"/>
      <c r="C65" s="17" t="n"/>
      <c r="D65" s="18" t="n"/>
      <c r="E65" s="17" t="n"/>
      <c r="F65" s="17" t="n"/>
      <c r="G65" s="18" t="n"/>
      <c r="H65" s="17" t="n"/>
      <c r="I65" s="17" t="n"/>
    </row>
    <row r="66">
      <c r="A66" s="16" t="n"/>
      <c r="B66" s="17" t="n"/>
      <c r="C66" s="17" t="n"/>
      <c r="D66" s="18" t="n"/>
      <c r="E66" s="17" t="n"/>
      <c r="F66" s="17" t="n"/>
      <c r="G66" s="18" t="n"/>
      <c r="H66" s="17" t="n"/>
      <c r="I66" s="17" t="n"/>
    </row>
    <row r="67">
      <c r="A67" s="16" t="n"/>
      <c r="B67" s="17" t="n"/>
      <c r="C67" s="17" t="n"/>
      <c r="D67" s="18" t="n"/>
      <c r="E67" s="17" t="n"/>
      <c r="F67" s="17" t="n"/>
      <c r="G67" s="18" t="n"/>
      <c r="H67" s="17" t="n"/>
      <c r="I67" s="17" t="n"/>
    </row>
    <row r="68">
      <c r="A68" s="16" t="n"/>
      <c r="B68" s="17" t="n"/>
      <c r="C68" s="17" t="n"/>
      <c r="D68" s="18" t="n"/>
      <c r="E68" s="17" t="n"/>
      <c r="F68" s="17" t="n"/>
      <c r="G68" s="18" t="n"/>
      <c r="H68" s="17" t="n"/>
      <c r="I68" s="17" t="n"/>
    </row>
    <row r="69">
      <c r="A69" s="16" t="n"/>
      <c r="B69" s="17" t="n"/>
      <c r="C69" s="17" t="n"/>
      <c r="D69" s="18" t="n"/>
      <c r="E69" s="17" t="n"/>
      <c r="F69" s="17" t="n"/>
      <c r="G69" s="18" t="n"/>
      <c r="H69" s="17" t="n"/>
      <c r="I69" s="17" t="n"/>
    </row>
    <row r="70">
      <c r="A70" s="16" t="n"/>
      <c r="B70" s="17" t="n"/>
      <c r="C70" s="17" t="n"/>
      <c r="D70" s="18" t="n"/>
      <c r="E70" s="17" t="n"/>
      <c r="F70" s="17" t="n"/>
      <c r="G70" s="18" t="n"/>
      <c r="H70" s="17" t="n"/>
      <c r="I70" s="17" t="n"/>
    </row>
    <row r="71">
      <c r="A71" s="16" t="n"/>
      <c r="B71" s="17" t="n"/>
      <c r="C71" s="17" t="n"/>
      <c r="D71" s="18" t="n"/>
      <c r="E71" s="17" t="n"/>
      <c r="F71" s="17" t="n"/>
      <c r="G71" s="18" t="n"/>
      <c r="H71" s="17" t="n"/>
      <c r="I71" s="17" t="n"/>
    </row>
    <row r="72">
      <c r="A72" s="16" t="n"/>
      <c r="B72" s="17" t="n"/>
      <c r="C72" s="17" t="n"/>
      <c r="D72" s="18" t="n"/>
      <c r="E72" s="17" t="n"/>
      <c r="F72" s="17" t="n"/>
      <c r="G72" s="18" t="n"/>
      <c r="H72" s="17" t="n"/>
      <c r="I72" s="17" t="n"/>
    </row>
    <row r="73">
      <c r="A73" s="16" t="n"/>
      <c r="B73" s="17" t="n"/>
      <c r="C73" s="17" t="n"/>
      <c r="D73" s="18" t="n"/>
      <c r="E73" s="17" t="n"/>
      <c r="F73" s="17" t="n"/>
      <c r="G73" s="18" t="n"/>
      <c r="H73" s="17" t="n"/>
      <c r="I73" s="17" t="n"/>
    </row>
    <row r="74">
      <c r="A74" s="16" t="n"/>
      <c r="B74" s="17" t="n"/>
      <c r="C74" s="17" t="n"/>
      <c r="D74" s="18" t="n"/>
      <c r="E74" s="17" t="n"/>
      <c r="F74" s="17" t="n"/>
      <c r="G74" s="18" t="n"/>
      <c r="H74" s="17" t="n"/>
      <c r="I74" s="17" t="n"/>
    </row>
    <row r="75">
      <c r="A75" s="16" t="n"/>
      <c r="B75" s="17" t="n"/>
      <c r="C75" s="17" t="n"/>
      <c r="D75" s="18" t="n"/>
      <c r="E75" s="17" t="n"/>
      <c r="F75" s="17" t="n"/>
      <c r="G75" s="18" t="n"/>
      <c r="H75" s="17" t="n"/>
      <c r="I75" s="17" t="n"/>
    </row>
    <row r="76">
      <c r="A76" s="16" t="n"/>
      <c r="B76" s="17" t="n"/>
      <c r="C76" s="17" t="n"/>
      <c r="D76" s="18" t="n"/>
      <c r="E76" s="17" t="n"/>
      <c r="F76" s="17" t="n"/>
      <c r="G76" s="18" t="n"/>
      <c r="H76" s="17" t="n"/>
      <c r="I76" s="17" t="n"/>
    </row>
    <row r="77">
      <c r="A77" s="16" t="n"/>
      <c r="B77" s="17" t="n"/>
      <c r="C77" s="17" t="n"/>
      <c r="D77" s="18" t="n"/>
      <c r="E77" s="17" t="n"/>
      <c r="F77" s="17" t="n"/>
      <c r="G77" s="18" t="n"/>
      <c r="H77" s="17" t="n"/>
      <c r="I77" s="17" t="n"/>
    </row>
    <row r="78">
      <c r="A78" s="16" t="n"/>
      <c r="B78" s="17" t="n"/>
      <c r="C78" s="17" t="n"/>
      <c r="D78" s="18" t="n"/>
      <c r="E78" s="17" t="n"/>
      <c r="F78" s="17" t="n"/>
      <c r="G78" s="18" t="n"/>
      <c r="H78" s="17" t="n"/>
      <c r="I78" s="17" t="n"/>
    </row>
    <row r="79">
      <c r="A79" s="16" t="n"/>
      <c r="B79" s="17" t="n"/>
      <c r="C79" s="17" t="n"/>
      <c r="D79" s="18" t="n"/>
      <c r="E79" s="17" t="n"/>
      <c r="F79" s="17" t="n"/>
      <c r="G79" s="18" t="n"/>
      <c r="H79" s="17" t="n"/>
      <c r="I79" s="17" t="n"/>
    </row>
    <row r="80">
      <c r="A80" s="16" t="n"/>
      <c r="B80" s="17" t="n"/>
      <c r="C80" s="17" t="n"/>
      <c r="D80" s="18" t="n"/>
      <c r="E80" s="17" t="n"/>
      <c r="F80" s="17" t="n"/>
      <c r="G80" s="18" t="n"/>
      <c r="H80" s="17" t="n"/>
      <c r="I80" s="17" t="n"/>
    </row>
    <row r="81">
      <c r="A81" s="16" t="n"/>
      <c r="B81" s="17" t="n"/>
      <c r="C81" s="17" t="n"/>
      <c r="D81" s="18" t="n"/>
      <c r="E81" s="17" t="n"/>
      <c r="F81" s="17" t="n"/>
      <c r="G81" s="18" t="n"/>
      <c r="H81" s="17" t="n"/>
      <c r="I81" s="17" t="n"/>
    </row>
    <row r="82">
      <c r="A82" s="16" t="n"/>
      <c r="B82" s="17" t="n"/>
      <c r="C82" s="17" t="n"/>
      <c r="D82" s="18" t="n"/>
      <c r="E82" s="17" t="n"/>
      <c r="F82" s="17" t="n"/>
      <c r="G82" s="18" t="n"/>
      <c r="H82" s="17" t="n"/>
      <c r="I82" s="17" t="n"/>
    </row>
    <row r="83">
      <c r="A83" s="16" t="n"/>
      <c r="B83" s="17" t="n"/>
      <c r="C83" s="17" t="n"/>
      <c r="D83" s="18" t="n"/>
      <c r="E83" s="17" t="n"/>
      <c r="F83" s="17" t="n"/>
      <c r="G83" s="18" t="n"/>
      <c r="H83" s="17" t="n"/>
      <c r="I83" s="17" t="n"/>
    </row>
    <row r="84">
      <c r="A84" s="16" t="n"/>
      <c r="B84" s="17" t="n"/>
      <c r="C84" s="17" t="n"/>
      <c r="D84" s="18" t="n"/>
      <c r="E84" s="17" t="n"/>
      <c r="F84" s="17" t="n"/>
      <c r="G84" s="18" t="n"/>
      <c r="H84" s="17" t="n"/>
      <c r="I84" s="17" t="n"/>
    </row>
    <row r="85">
      <c r="A85" s="16" t="n"/>
      <c r="B85" s="17" t="n"/>
      <c r="C85" s="17" t="n"/>
      <c r="D85" s="18" t="n"/>
      <c r="E85" s="17" t="n"/>
      <c r="F85" s="17" t="n"/>
      <c r="G85" s="18" t="n"/>
      <c r="H85" s="17" t="n"/>
      <c r="I85" s="17" t="n"/>
    </row>
    <row r="86">
      <c r="A86" s="16" t="n"/>
      <c r="B86" s="17" t="n"/>
      <c r="C86" s="17" t="n"/>
      <c r="D86" s="18" t="n"/>
      <c r="E86" s="17" t="n"/>
      <c r="F86" s="17" t="n"/>
      <c r="G86" s="18" t="n"/>
      <c r="H86" s="17" t="n"/>
      <c r="I86" s="17" t="n"/>
    </row>
    <row r="87">
      <c r="A87" s="16" t="n"/>
      <c r="B87" s="17" t="n"/>
      <c r="C87" s="17" t="n"/>
      <c r="D87" s="18" t="n"/>
      <c r="E87" s="17" t="n"/>
      <c r="F87" s="17" t="n"/>
      <c r="G87" s="18" t="n"/>
      <c r="H87" s="17" t="n"/>
      <c r="I87" s="17" t="n"/>
    </row>
    <row r="88">
      <c r="A88" s="16" t="n"/>
      <c r="B88" s="17" t="n"/>
      <c r="C88" s="17" t="n"/>
      <c r="D88" s="18" t="n"/>
      <c r="E88" s="17" t="n"/>
      <c r="F88" s="17" t="n"/>
      <c r="G88" s="18" t="n"/>
      <c r="H88" s="17" t="n"/>
      <c r="I88" s="17" t="n"/>
    </row>
    <row r="89">
      <c r="A89" s="16" t="n"/>
      <c r="B89" s="17" t="n"/>
      <c r="C89" s="17" t="n"/>
      <c r="D89" s="18" t="n"/>
      <c r="E89" s="17" t="n"/>
      <c r="F89" s="17" t="n"/>
      <c r="G89" s="18" t="n"/>
      <c r="H89" s="17" t="n"/>
      <c r="I89" s="17" t="n"/>
    </row>
    <row r="90">
      <c r="A90" s="16" t="n"/>
      <c r="B90" s="17" t="n"/>
      <c r="C90" s="17" t="n"/>
      <c r="D90" s="18" t="n"/>
      <c r="E90" s="17" t="n"/>
      <c r="F90" s="17" t="n"/>
      <c r="G90" s="18" t="n"/>
      <c r="H90" s="17" t="n"/>
      <c r="I90" s="17" t="n"/>
    </row>
    <row r="91">
      <c r="A91" s="16" t="n"/>
      <c r="B91" s="17" t="n"/>
      <c r="C91" s="17" t="n"/>
      <c r="D91" s="18" t="n"/>
      <c r="E91" s="17" t="n"/>
      <c r="F91" s="17" t="n"/>
      <c r="G91" s="18" t="n"/>
      <c r="H91" s="17" t="n"/>
      <c r="I91" s="17" t="n"/>
    </row>
    <row r="92">
      <c r="A92" s="16" t="n"/>
      <c r="B92" s="17" t="n"/>
      <c r="C92" s="17" t="n"/>
      <c r="D92" s="18" t="n"/>
      <c r="E92" s="17" t="n"/>
      <c r="F92" s="17" t="n"/>
      <c r="G92" s="18" t="n"/>
      <c r="H92" s="17" t="n"/>
      <c r="I92" s="17" t="n"/>
    </row>
    <row r="93">
      <c r="A93" s="16" t="n"/>
      <c r="B93" s="17" t="n"/>
      <c r="C93" s="17" t="n"/>
      <c r="D93" s="18" t="n"/>
      <c r="E93" s="17" t="n"/>
      <c r="F93" s="17" t="n"/>
      <c r="G93" s="18" t="n"/>
      <c r="H93" s="17" t="n"/>
      <c r="I93" s="17" t="n"/>
    </row>
    <row r="94">
      <c r="A94" s="16" t="n"/>
      <c r="B94" s="17" t="n"/>
      <c r="C94" s="17" t="n"/>
      <c r="D94" s="18" t="n"/>
      <c r="E94" s="17" t="n"/>
      <c r="F94" s="17" t="n"/>
      <c r="G94" s="18" t="n"/>
      <c r="H94" s="17" t="n"/>
      <c r="I94" s="17" t="n"/>
    </row>
    <row r="95">
      <c r="A95" s="16" t="n"/>
      <c r="B95" s="17" t="n"/>
      <c r="C95" s="17" t="n"/>
      <c r="D95" s="18" t="n"/>
      <c r="E95" s="17" t="n"/>
      <c r="F95" s="17" t="n"/>
      <c r="G95" s="18" t="n"/>
      <c r="H95" s="17" t="n"/>
      <c r="I95" s="17" t="n"/>
    </row>
    <row r="96">
      <c r="A96" s="16" t="n"/>
      <c r="B96" s="17" t="n"/>
      <c r="C96" s="17" t="n"/>
      <c r="D96" s="18" t="n"/>
      <c r="E96" s="17" t="n"/>
      <c r="F96" s="17" t="n"/>
      <c r="G96" s="18" t="n"/>
      <c r="H96" s="17" t="n"/>
      <c r="I96" s="17" t="n"/>
    </row>
    <row r="97">
      <c r="A97" s="16" t="n"/>
      <c r="B97" s="17" t="n"/>
      <c r="C97" s="17" t="n"/>
      <c r="D97" s="18" t="n"/>
      <c r="E97" s="17" t="n"/>
      <c r="F97" s="17" t="n"/>
      <c r="G97" s="18" t="n"/>
      <c r="H97" s="17" t="n"/>
      <c r="I97" s="17" t="n"/>
    </row>
    <row r="98">
      <c r="A98" s="16" t="n"/>
      <c r="B98" s="17" t="n"/>
      <c r="C98" s="17" t="n"/>
      <c r="D98" s="18" t="n"/>
      <c r="E98" s="17" t="n"/>
      <c r="F98" s="17" t="n"/>
      <c r="G98" s="18" t="n"/>
      <c r="H98" s="17" t="n"/>
      <c r="I98" s="17" t="n"/>
    </row>
    <row r="99">
      <c r="A99" s="16" t="n"/>
      <c r="B99" s="17" t="n"/>
      <c r="C99" s="17" t="n"/>
      <c r="D99" s="18" t="n"/>
      <c r="E99" s="17" t="n"/>
      <c r="F99" s="17" t="n"/>
      <c r="G99" s="18" t="n"/>
      <c r="H99" s="17" t="n"/>
      <c r="I99" s="17" t="n"/>
    </row>
    <row r="100">
      <c r="A100" s="16" t="n"/>
      <c r="B100" s="17" t="n"/>
      <c r="C100" s="17" t="n"/>
      <c r="D100" s="18" t="n"/>
      <c r="E100" s="17" t="n"/>
      <c r="F100" s="17" t="n"/>
      <c r="G100" s="18" t="n"/>
      <c r="H100" s="17" t="n"/>
      <c r="I100" s="17" t="n"/>
    </row>
    <row r="101">
      <c r="A101" s="16" t="n"/>
      <c r="B101" s="17" t="n"/>
      <c r="C101" s="17" t="n"/>
      <c r="D101" s="18" t="n"/>
      <c r="E101" s="17" t="n"/>
      <c r="F101" s="17" t="n"/>
      <c r="G101" s="18" t="n"/>
      <c r="H101" s="17" t="n"/>
      <c r="I101" s="17" t="n"/>
    </row>
    <row r="102">
      <c r="A102" s="16" t="n"/>
      <c r="B102" s="17" t="n"/>
      <c r="C102" s="17" t="n"/>
      <c r="D102" s="18" t="n"/>
      <c r="E102" s="17" t="n"/>
      <c r="F102" s="17" t="n"/>
      <c r="G102" s="18" t="n"/>
      <c r="H102" s="17" t="n"/>
      <c r="I102" s="17" t="n"/>
    </row>
    <row r="103">
      <c r="A103" s="16" t="n"/>
      <c r="B103" s="17" t="n"/>
      <c r="C103" s="17" t="n"/>
      <c r="D103" s="18" t="n"/>
      <c r="E103" s="17" t="n"/>
      <c r="F103" s="17" t="n"/>
      <c r="G103" s="18" t="n"/>
      <c r="H103" s="17" t="n"/>
      <c r="I103" s="17" t="n"/>
    </row>
    <row r="104">
      <c r="A104" s="16" t="n"/>
      <c r="B104" s="17" t="n"/>
      <c r="C104" s="17" t="n"/>
      <c r="D104" s="18" t="n"/>
      <c r="E104" s="17" t="n"/>
      <c r="F104" s="17" t="n"/>
      <c r="G104" s="18" t="n"/>
      <c r="H104" s="17" t="n"/>
      <c r="I104" s="17" t="n"/>
    </row>
    <row r="105">
      <c r="A105" s="16" t="n"/>
      <c r="B105" s="17" t="n"/>
      <c r="C105" s="17" t="n"/>
      <c r="D105" s="18" t="n"/>
      <c r="E105" s="17" t="n"/>
      <c r="F105" s="17" t="n"/>
      <c r="G105" s="18" t="n"/>
      <c r="H105" s="17" t="n"/>
      <c r="I105" s="17" t="n"/>
    </row>
    <row r="106">
      <c r="A106" s="16" t="n"/>
      <c r="B106" s="17" t="n"/>
      <c r="C106" s="17" t="n"/>
      <c r="D106" s="18" t="n"/>
      <c r="E106" s="17" t="n"/>
      <c r="F106" s="17" t="n"/>
      <c r="G106" s="18" t="n"/>
      <c r="H106" s="17" t="n"/>
      <c r="I106" s="17" t="n"/>
    </row>
    <row r="107">
      <c r="A107" s="16" t="n"/>
      <c r="B107" s="17" t="n"/>
      <c r="C107" s="17" t="n"/>
      <c r="D107" s="18" t="n"/>
      <c r="E107" s="17" t="n"/>
      <c r="F107" s="17" t="n"/>
      <c r="G107" s="18" t="n"/>
      <c r="H107" s="17" t="n"/>
      <c r="I107" s="17" t="n"/>
    </row>
    <row r="108">
      <c r="A108" s="16" t="n"/>
      <c r="B108" s="17" t="n"/>
      <c r="C108" s="17" t="n"/>
      <c r="D108" s="18" t="n"/>
      <c r="E108" s="17" t="n"/>
      <c r="F108" s="17" t="n"/>
      <c r="G108" s="18" t="n"/>
      <c r="H108" s="17" t="n"/>
      <c r="I108" s="17" t="n"/>
    </row>
    <row r="109">
      <c r="A109" s="16" t="n"/>
      <c r="B109" s="17" t="n"/>
      <c r="C109" s="17" t="n"/>
      <c r="D109" s="18" t="n"/>
      <c r="E109" s="17" t="n"/>
      <c r="F109" s="17" t="n"/>
      <c r="G109" s="18" t="n"/>
      <c r="H109" s="17" t="n"/>
      <c r="I109" s="17" t="n"/>
    </row>
    <row r="110">
      <c r="A110" s="16" t="n"/>
      <c r="B110" s="17" t="n"/>
      <c r="C110" s="17" t="n"/>
      <c r="D110" s="18" t="n"/>
      <c r="E110" s="17" t="n"/>
      <c r="F110" s="17" t="n"/>
      <c r="G110" s="18" t="n"/>
      <c r="H110" s="17" t="n"/>
      <c r="I110" s="17" t="n"/>
    </row>
    <row r="111">
      <c r="A111" s="16" t="n"/>
      <c r="B111" s="17" t="n"/>
      <c r="C111" s="17" t="n"/>
      <c r="D111" s="18" t="n"/>
      <c r="E111" s="17" t="n"/>
      <c r="F111" s="17" t="n"/>
      <c r="G111" s="18" t="n"/>
      <c r="H111" s="17" t="n"/>
      <c r="I111" s="17" t="n"/>
    </row>
    <row r="112">
      <c r="A112" s="16" t="n"/>
      <c r="B112" s="17" t="n"/>
      <c r="C112" s="17" t="n"/>
      <c r="D112" s="18" t="n"/>
      <c r="E112" s="17" t="n"/>
      <c r="F112" s="17" t="n"/>
      <c r="G112" s="18" t="n"/>
      <c r="H112" s="17" t="n"/>
      <c r="I112" s="17" t="n"/>
    </row>
    <row r="113">
      <c r="A113" s="16" t="n"/>
      <c r="B113" s="17" t="n"/>
      <c r="C113" s="17" t="n"/>
      <c r="D113" s="18" t="n"/>
      <c r="E113" s="17" t="n"/>
      <c r="F113" s="17" t="n"/>
      <c r="G113" s="18" t="n"/>
      <c r="H113" s="17" t="n"/>
      <c r="I113" s="17" t="n"/>
    </row>
    <row r="114">
      <c r="A114" s="16" t="n"/>
      <c r="B114" s="17" t="n"/>
      <c r="C114" s="17" t="n"/>
      <c r="D114" s="18" t="n"/>
      <c r="E114" s="17" t="n"/>
      <c r="F114" s="17" t="n"/>
      <c r="G114" s="18" t="n"/>
      <c r="H114" s="17" t="n"/>
      <c r="I114" s="17" t="n"/>
    </row>
    <row r="115">
      <c r="A115" s="16" t="n"/>
      <c r="B115" s="17" t="n"/>
      <c r="C115" s="17" t="n"/>
      <c r="D115" s="18" t="n"/>
      <c r="E115" s="17" t="n"/>
      <c r="F115" s="17" t="n"/>
      <c r="G115" s="18" t="n"/>
      <c r="H115" s="17" t="n"/>
      <c r="I115" s="17" t="n"/>
    </row>
    <row r="116">
      <c r="A116" s="16" t="n"/>
      <c r="B116" s="17" t="n"/>
      <c r="C116" s="17" t="n"/>
      <c r="D116" s="18" t="n"/>
      <c r="E116" s="17" t="n"/>
      <c r="F116" s="17" t="n"/>
      <c r="G116" s="18" t="n"/>
      <c r="H116" s="17" t="n"/>
      <c r="I116" s="17" t="n"/>
    </row>
    <row r="117">
      <c r="A117" s="16" t="n"/>
      <c r="B117" s="17" t="n"/>
      <c r="C117" s="17" t="n"/>
      <c r="D117" s="18" t="n"/>
      <c r="E117" s="17" t="n"/>
      <c r="F117" s="17" t="n"/>
      <c r="G117" s="18" t="n"/>
      <c r="H117" s="17" t="n"/>
      <c r="I117" s="17" t="n"/>
    </row>
    <row r="118">
      <c r="A118" s="16" t="n"/>
      <c r="B118" s="17" t="n"/>
      <c r="C118" s="17" t="n"/>
      <c r="D118" s="18" t="n"/>
      <c r="E118" s="17" t="n"/>
      <c r="F118" s="17" t="n"/>
      <c r="G118" s="18" t="n"/>
      <c r="H118" s="17" t="n"/>
      <c r="I118" s="17" t="n"/>
    </row>
    <row r="119">
      <c r="A119" s="16" t="n"/>
      <c r="B119" s="17" t="n"/>
      <c r="C119" s="17" t="n"/>
      <c r="D119" s="18" t="n"/>
      <c r="E119" s="17" t="n"/>
      <c r="F119" s="17" t="n"/>
      <c r="G119" s="18" t="n"/>
      <c r="H119" s="17" t="n"/>
      <c r="I119" s="17" t="n"/>
    </row>
    <row r="120">
      <c r="A120" s="16" t="n"/>
      <c r="B120" s="17" t="n"/>
      <c r="C120" s="17" t="n"/>
      <c r="D120" s="18" t="n"/>
      <c r="E120" s="17" t="n"/>
      <c r="F120" s="17" t="n"/>
      <c r="G120" s="18" t="n"/>
      <c r="H120" s="17" t="n"/>
      <c r="I120" s="17" t="n"/>
    </row>
    <row r="121">
      <c r="A121" s="16" t="n"/>
      <c r="B121" s="17" t="n"/>
      <c r="C121" s="17" t="n"/>
      <c r="D121" s="18" t="n"/>
      <c r="E121" s="17" t="n"/>
      <c r="F121" s="17" t="n"/>
      <c r="G121" s="18" t="n"/>
      <c r="H121" s="17" t="n"/>
      <c r="I121" s="17" t="n"/>
    </row>
    <row r="122">
      <c r="A122" s="16" t="n"/>
      <c r="B122" s="17" t="n"/>
      <c r="C122" s="17" t="n"/>
      <c r="D122" s="18" t="n"/>
      <c r="E122" s="17" t="n"/>
      <c r="F122" s="17" t="n"/>
      <c r="G122" s="18" t="n"/>
      <c r="H122" s="17" t="n"/>
      <c r="I122" s="17" t="n"/>
    </row>
    <row r="123">
      <c r="A123" s="16" t="n"/>
      <c r="B123" s="17" t="n"/>
      <c r="C123" s="17" t="n"/>
      <c r="D123" s="18" t="n"/>
      <c r="E123" s="17" t="n"/>
      <c r="F123" s="17" t="n"/>
      <c r="G123" s="18" t="n"/>
      <c r="H123" s="17" t="n"/>
      <c r="I123" s="17" t="n"/>
    </row>
    <row r="124">
      <c r="A124" s="16" t="n"/>
      <c r="B124" s="17" t="n"/>
      <c r="C124" s="17" t="n"/>
      <c r="D124" s="18" t="n"/>
      <c r="E124" s="17" t="n"/>
      <c r="F124" s="17" t="n"/>
      <c r="G124" s="18" t="n"/>
      <c r="H124" s="17" t="n"/>
      <c r="I124" s="17" t="n"/>
    </row>
    <row r="125">
      <c r="A125" s="16" t="n"/>
      <c r="B125" s="17" t="n"/>
      <c r="C125" s="17" t="n"/>
      <c r="D125" s="18" t="n"/>
      <c r="E125" s="17" t="n"/>
      <c r="F125" s="17" t="n"/>
      <c r="G125" s="18" t="n"/>
      <c r="H125" s="17" t="n"/>
      <c r="I125" s="17" t="n"/>
    </row>
    <row r="126">
      <c r="A126" s="16" t="n"/>
      <c r="B126" s="17" t="n"/>
      <c r="C126" s="17" t="n"/>
      <c r="D126" s="18" t="n"/>
      <c r="E126" s="17" t="n"/>
      <c r="F126" s="17" t="n"/>
      <c r="G126" s="18" t="n"/>
      <c r="H126" s="17" t="n"/>
      <c r="I126" s="17" t="n"/>
    </row>
    <row r="127">
      <c r="A127" s="16" t="n"/>
      <c r="B127" s="17" t="n"/>
      <c r="C127" s="17" t="n"/>
      <c r="D127" s="18" t="n"/>
      <c r="E127" s="17" t="n"/>
      <c r="F127" s="17" t="n"/>
      <c r="G127" s="18" t="n"/>
      <c r="H127" s="17" t="n"/>
      <c r="I127" s="17" t="n"/>
    </row>
    <row r="128">
      <c r="A128" s="16" t="n"/>
      <c r="B128" s="17" t="n"/>
      <c r="C128" s="17" t="n"/>
      <c r="D128" s="18" t="n"/>
      <c r="E128" s="17" t="n"/>
      <c r="F128" s="17" t="n"/>
      <c r="G128" s="18" t="n"/>
      <c r="H128" s="17" t="n"/>
      <c r="I128" s="17" t="n"/>
    </row>
    <row r="129">
      <c r="A129" s="16" t="n"/>
      <c r="B129" s="17" t="n"/>
      <c r="C129" s="17" t="n"/>
      <c r="D129" s="18" t="n"/>
      <c r="E129" s="17" t="n"/>
      <c r="F129" s="17" t="n"/>
      <c r="G129" s="18" t="n"/>
      <c r="H129" s="17" t="n"/>
      <c r="I129" s="17" t="n"/>
    </row>
    <row r="130">
      <c r="A130" s="16" t="n"/>
      <c r="B130" s="17" t="n"/>
      <c r="C130" s="17" t="n"/>
      <c r="D130" s="18" t="n"/>
      <c r="E130" s="17" t="n"/>
      <c r="F130" s="17" t="n"/>
      <c r="G130" s="18" t="n"/>
      <c r="H130" s="17" t="n"/>
      <c r="I130" s="17" t="n"/>
    </row>
    <row r="131">
      <c r="A131" s="16" t="n"/>
      <c r="B131" s="17" t="n"/>
      <c r="C131" s="17" t="n"/>
      <c r="D131" s="18" t="n"/>
      <c r="E131" s="17" t="n"/>
      <c r="F131" s="17" t="n"/>
      <c r="G131" s="18" t="n"/>
      <c r="H131" s="17" t="n"/>
      <c r="I131" s="17" t="n"/>
    </row>
    <row r="132">
      <c r="A132" s="16" t="n"/>
      <c r="B132" s="17" t="n"/>
      <c r="C132" s="17" t="n"/>
      <c r="D132" s="18" t="n"/>
      <c r="E132" s="17" t="n"/>
      <c r="F132" s="17" t="n"/>
      <c r="G132" s="18" t="n"/>
      <c r="H132" s="17" t="n"/>
      <c r="I132" s="17" t="n"/>
    </row>
    <row r="133">
      <c r="A133" s="16" t="n"/>
      <c r="B133" s="17" t="n"/>
      <c r="C133" s="17" t="n"/>
      <c r="D133" s="18" t="n"/>
      <c r="E133" s="17" t="n"/>
      <c r="F133" s="17" t="n"/>
      <c r="G133" s="18" t="n"/>
      <c r="H133" s="17" t="n"/>
      <c r="I133" s="17" t="n"/>
    </row>
    <row r="134">
      <c r="A134" s="16" t="n"/>
      <c r="B134" s="17" t="n"/>
      <c r="C134" s="17" t="n"/>
      <c r="D134" s="18" t="n"/>
      <c r="E134" s="17" t="n"/>
      <c r="F134" s="17" t="n"/>
      <c r="G134" s="18" t="n"/>
      <c r="H134" s="17" t="n"/>
      <c r="I134" s="17" t="n"/>
    </row>
    <row r="135">
      <c r="A135" s="16" t="n"/>
      <c r="B135" s="17" t="n"/>
      <c r="C135" s="17" t="n"/>
      <c r="D135" s="18" t="n"/>
      <c r="E135" s="17" t="n"/>
      <c r="F135" s="17" t="n"/>
      <c r="G135" s="18" t="n"/>
      <c r="H135" s="17" t="n"/>
      <c r="I135" s="17" t="n"/>
    </row>
    <row r="136">
      <c r="A136" s="16" t="n"/>
      <c r="B136" s="17" t="n"/>
      <c r="C136" s="17" t="n"/>
      <c r="D136" s="18" t="n"/>
      <c r="E136" s="17" t="n"/>
      <c r="F136" s="17" t="n"/>
      <c r="G136" s="18" t="n"/>
      <c r="H136" s="17" t="n"/>
      <c r="I136" s="17" t="n"/>
    </row>
    <row r="137">
      <c r="A137" s="16" t="n"/>
      <c r="B137" s="17" t="n"/>
      <c r="C137" s="17" t="n"/>
      <c r="D137" s="18" t="n"/>
      <c r="E137" s="17" t="n"/>
      <c r="F137" s="17" t="n"/>
      <c r="G137" s="18" t="n"/>
      <c r="H137" s="17" t="n"/>
      <c r="I137" s="17" t="n"/>
    </row>
    <row r="138">
      <c r="A138" s="16" t="n"/>
      <c r="B138" s="17" t="n"/>
      <c r="C138" s="17" t="n"/>
      <c r="D138" s="18" t="n"/>
      <c r="E138" s="17" t="n"/>
      <c r="F138" s="17" t="n"/>
      <c r="G138" s="18" t="n"/>
      <c r="H138" s="17" t="n"/>
      <c r="I138" s="17" t="n"/>
    </row>
    <row r="139">
      <c r="A139" s="16" t="n"/>
      <c r="B139" s="17" t="n"/>
      <c r="C139" s="17" t="n"/>
      <c r="D139" s="18" t="n"/>
      <c r="E139" s="17" t="n"/>
      <c r="F139" s="17" t="n"/>
      <c r="G139" s="18" t="n"/>
      <c r="H139" s="17" t="n"/>
      <c r="I139" s="17" t="n"/>
    </row>
    <row r="140">
      <c r="A140" s="16" t="n"/>
      <c r="B140" s="17" t="n"/>
      <c r="C140" s="17" t="n"/>
      <c r="D140" s="18" t="n"/>
      <c r="E140" s="17" t="n"/>
      <c r="F140" s="17" t="n"/>
      <c r="G140" s="18" t="n"/>
      <c r="H140" s="17" t="n"/>
      <c r="I140" s="17" t="n"/>
    </row>
    <row r="141">
      <c r="A141" s="16" t="n"/>
      <c r="B141" s="17" t="n"/>
      <c r="C141" s="17" t="n"/>
      <c r="D141" s="18" t="n"/>
      <c r="E141" s="17" t="n"/>
      <c r="F141" s="17" t="n"/>
      <c r="G141" s="18" t="n"/>
      <c r="H141" s="17" t="n"/>
      <c r="I141" s="17" t="n"/>
    </row>
    <row r="142">
      <c r="A142" s="16" t="n"/>
      <c r="B142" s="17" t="n"/>
      <c r="C142" s="17" t="n"/>
      <c r="D142" s="18" t="n"/>
      <c r="E142" s="17" t="n"/>
      <c r="F142" s="17" t="n"/>
      <c r="G142" s="18" t="n"/>
      <c r="H142" s="17" t="n"/>
      <c r="I142" s="17" t="n"/>
    </row>
    <row r="143">
      <c r="A143" s="16" t="n"/>
      <c r="B143" s="17" t="n"/>
      <c r="C143" s="17" t="n"/>
      <c r="D143" s="18" t="n"/>
      <c r="E143" s="17" t="n"/>
      <c r="F143" s="17" t="n"/>
      <c r="G143" s="18" t="n"/>
      <c r="H143" s="17" t="n"/>
      <c r="I143" s="17" t="n"/>
    </row>
    <row r="144">
      <c r="A144" s="16" t="n"/>
      <c r="B144" s="17" t="n"/>
      <c r="C144" s="17" t="n"/>
      <c r="D144" s="18" t="n"/>
      <c r="E144" s="17" t="n"/>
      <c r="F144" s="17" t="n"/>
      <c r="G144" s="18" t="n"/>
      <c r="H144" s="17" t="n"/>
      <c r="I144" s="17" t="n"/>
    </row>
    <row r="145">
      <c r="A145" s="16" t="n"/>
      <c r="B145" s="17" t="n"/>
      <c r="C145" s="17" t="n"/>
      <c r="D145" s="18" t="n"/>
      <c r="E145" s="17" t="n"/>
      <c r="F145" s="17" t="n"/>
      <c r="G145" s="18" t="n"/>
      <c r="H145" s="17" t="n"/>
      <c r="I145" s="17" t="n"/>
    </row>
    <row r="146">
      <c r="A146" s="16" t="n"/>
      <c r="B146" s="17" t="n"/>
      <c r="C146" s="17" t="n"/>
      <c r="D146" s="18" t="n"/>
      <c r="E146" s="17" t="n"/>
      <c r="F146" s="17" t="n"/>
      <c r="G146" s="18" t="n"/>
      <c r="H146" s="17" t="n"/>
      <c r="I146" s="17" t="n"/>
    </row>
    <row r="147">
      <c r="A147" s="16" t="n"/>
      <c r="B147" s="17" t="n"/>
      <c r="C147" s="17" t="n"/>
      <c r="D147" s="18" t="n"/>
      <c r="E147" s="17" t="n"/>
      <c r="F147" s="17" t="n"/>
      <c r="G147" s="18" t="n"/>
      <c r="H147" s="17" t="n"/>
      <c r="I147" s="17" t="n"/>
    </row>
    <row r="148">
      <c r="A148" s="16" t="n"/>
      <c r="B148" s="17" t="n"/>
      <c r="C148" s="17" t="n"/>
      <c r="D148" s="18" t="n"/>
      <c r="E148" s="17" t="n"/>
      <c r="F148" s="17" t="n"/>
      <c r="G148" s="18" t="n"/>
      <c r="H148" s="17" t="n"/>
      <c r="I148" s="17" t="n"/>
    </row>
    <row r="149">
      <c r="A149" s="16" t="n"/>
      <c r="B149" s="17" t="n"/>
      <c r="C149" s="17" t="n"/>
      <c r="D149" s="18" t="n"/>
      <c r="E149" s="17" t="n"/>
      <c r="F149" s="17" t="n"/>
      <c r="G149" s="18" t="n"/>
      <c r="H149" s="17" t="n"/>
      <c r="I149" s="17" t="n"/>
    </row>
    <row r="150">
      <c r="A150" s="16" t="n"/>
      <c r="B150" s="17" t="n"/>
      <c r="C150" s="17" t="n"/>
      <c r="D150" s="18" t="n"/>
      <c r="E150" s="17" t="n"/>
      <c r="F150" s="17" t="n"/>
      <c r="G150" s="18" t="n"/>
      <c r="H150" s="17" t="n"/>
      <c r="I150" s="17" t="n"/>
    </row>
    <row r="151">
      <c r="A151" s="16" t="n"/>
      <c r="B151" s="17" t="n"/>
      <c r="C151" s="17" t="n"/>
      <c r="D151" s="18" t="n"/>
      <c r="E151" s="17" t="n"/>
      <c r="F151" s="17" t="n"/>
      <c r="G151" s="18" t="n"/>
      <c r="H151" s="17" t="n"/>
      <c r="I151" s="17" t="n"/>
    </row>
    <row r="152">
      <c r="A152" s="16" t="n"/>
      <c r="B152" s="17" t="n"/>
      <c r="C152" s="17" t="n"/>
      <c r="D152" s="18" t="n"/>
      <c r="E152" s="17" t="n"/>
      <c r="F152" s="17" t="n"/>
      <c r="G152" s="18" t="n"/>
      <c r="H152" s="17" t="n"/>
      <c r="I152" s="17" t="n"/>
    </row>
    <row r="153">
      <c r="A153" s="16" t="n"/>
      <c r="B153" s="17" t="n"/>
      <c r="C153" s="17" t="n"/>
      <c r="D153" s="18" t="n"/>
      <c r="E153" s="17" t="n"/>
      <c r="F153" s="17" t="n"/>
      <c r="G153" s="18" t="n"/>
      <c r="H153" s="17" t="n"/>
      <c r="I153" s="17" t="n"/>
    </row>
  </sheetData>
  <autoFilter ref="A3:I153"/>
  <conditionalFormatting sqref="F4:F153">
    <cfRule type="expression" priority="1" dxfId="0" stopIfTrue="0">
      <formula>F4="Yes"</formula>
    </cfRule>
  </conditionalFormatting>
  <conditionalFormatting sqref="H4:H153">
    <cfRule type="expression" priority="2" dxfId="1" stopIfTrue="0">
      <formula>H4="No"</formula>
    </cfRule>
  </conditionalFormatting>
  <dataValidations count="5">
    <dataValidation sqref="C4:C153" showDropDown="0" showInputMessage="0" showErrorMessage="0" allowBlank="1" type="list">
      <formula1>"DM,Call,Comment,Landing page,In person,Email,Other"</formula1>
    </dataValidation>
    <dataValidation sqref="E4:E153" showDropDown="0" showInputMessage="0" showErrorMessage="0" allowBlank="1" type="list">
      <formula1>"Price,Trust,Timing,Not for me,Don't need it,Confused,Using something else,Other"</formula1>
    </dataValidation>
    <dataValidation sqref="F4:F153" showDropDown="0" showInputMessage="0" showErrorMessage="0" allowBlank="1" type="list">
      <formula1>"Yes,Not yet,No"</formula1>
    </dataValidation>
    <dataValidation sqref="H4:H153" showDropDown="0" showInputMessage="0" showErrorMessage="0" allowBlank="1" type="list">
      <formula1>"Yes,No"</formula1>
    </dataValidation>
    <dataValidation sqref="I4:I153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6" customWidth="1" min="4" max="4"/>
  </cols>
  <sheetData>
    <row r="1" ht="26" customHeight="1">
      <c r="A1" s="13" t="inlineStr">
        <is>
          <t>From objections to answers</t>
        </is>
      </c>
    </row>
    <row r="2">
      <c r="A2" s="14" t="inlineStr">
        <is>
          <t>The pattern tells you what your page and DMs must answer.</t>
        </is>
      </c>
    </row>
    <row r="4">
      <c r="A4" s="1" t="inlineStr">
        <is>
          <t>OBJECTIONS BY TYPE</t>
        </is>
      </c>
      <c r="B4" s="1" t="inlineStr">
        <is>
          <t>Times heard</t>
        </is>
      </c>
      <c r="C4" s="1" t="inlineStr">
        <is>
          <t>Share</t>
        </is>
      </c>
      <c r="D4" s="1" t="inlineStr">
        <is>
          <t>Bought anyway</t>
        </is>
      </c>
    </row>
    <row r="5">
      <c r="A5" s="19" t="inlineStr">
        <is>
          <t>Price</t>
        </is>
      </c>
      <c r="B5" s="20">
        <f>COUNTIF('Log'!$E$4:$E$153,"Price")</f>
        <v/>
      </c>
      <c r="C5" s="21">
        <f>IF(COUNTA('Log'!$E$4:$E$153)=0,"",COUNTIF('Log'!$E$4:$E$153,"Price")/COUNTA('Log'!$E$4:$E$153))</f>
        <v/>
      </c>
      <c r="D5" s="20">
        <f>COUNTIFS('Log'!$E$4:$E$153,"Price",'Log'!$F$4:$F$153,"Yes")</f>
        <v/>
      </c>
    </row>
    <row r="6">
      <c r="A6" s="19" t="inlineStr">
        <is>
          <t>Trust</t>
        </is>
      </c>
      <c r="B6" s="20">
        <f>COUNTIF('Log'!$E$4:$E$153,"Trust")</f>
        <v/>
      </c>
      <c r="C6" s="21">
        <f>IF(COUNTA('Log'!$E$4:$E$153)=0,"",COUNTIF('Log'!$E$4:$E$153,"Trust")/COUNTA('Log'!$E$4:$E$153))</f>
        <v/>
      </c>
      <c r="D6" s="20">
        <f>COUNTIFS('Log'!$E$4:$E$153,"Trust",'Log'!$F$4:$F$153,"Yes")</f>
        <v/>
      </c>
    </row>
    <row r="7">
      <c r="A7" s="19" t="inlineStr">
        <is>
          <t>Timing</t>
        </is>
      </c>
      <c r="B7" s="20">
        <f>COUNTIF('Log'!$E$4:$E$153,"Timing")</f>
        <v/>
      </c>
      <c r="C7" s="21">
        <f>IF(COUNTA('Log'!$E$4:$E$153)=0,"",COUNTIF('Log'!$E$4:$E$153,"Timing")/COUNTA('Log'!$E$4:$E$153))</f>
        <v/>
      </c>
      <c r="D7" s="20">
        <f>COUNTIFS('Log'!$E$4:$E$153,"Timing",'Log'!$F$4:$F$153,"Yes")</f>
        <v/>
      </c>
    </row>
    <row r="8">
      <c r="A8" s="19" t="inlineStr">
        <is>
          <t>Not for me</t>
        </is>
      </c>
      <c r="B8" s="20">
        <f>COUNTIF('Log'!$E$4:$E$153,"Not for me")</f>
        <v/>
      </c>
      <c r="C8" s="21">
        <f>IF(COUNTA('Log'!$E$4:$E$153)=0,"",COUNTIF('Log'!$E$4:$E$153,"Not for me")/COUNTA('Log'!$E$4:$E$153))</f>
        <v/>
      </c>
      <c r="D8" s="20">
        <f>COUNTIFS('Log'!$E$4:$E$153,"Not for me",'Log'!$F$4:$F$153,"Yes")</f>
        <v/>
      </c>
    </row>
    <row r="9">
      <c r="A9" s="19" t="inlineStr">
        <is>
          <t>Don't need it</t>
        </is>
      </c>
      <c r="B9" s="20">
        <f>COUNTIF('Log'!$E$4:$E$153,"Don't need it")</f>
        <v/>
      </c>
      <c r="C9" s="21">
        <f>IF(COUNTA('Log'!$E$4:$E$153)=0,"",COUNTIF('Log'!$E$4:$E$153,"Don't need it")/COUNTA('Log'!$E$4:$E$153))</f>
        <v/>
      </c>
      <c r="D9" s="20">
        <f>COUNTIFS('Log'!$E$4:$E$153,"Don't need it",'Log'!$F$4:$F$153,"Yes")</f>
        <v/>
      </c>
    </row>
    <row r="10">
      <c r="A10" s="19" t="inlineStr">
        <is>
          <t>Confused</t>
        </is>
      </c>
      <c r="B10" s="20">
        <f>COUNTIF('Log'!$E$4:$E$153,"Confused")</f>
        <v/>
      </c>
      <c r="C10" s="21">
        <f>IF(COUNTA('Log'!$E$4:$E$153)=0,"",COUNTIF('Log'!$E$4:$E$153,"Confused")/COUNTA('Log'!$E$4:$E$153))</f>
        <v/>
      </c>
      <c r="D10" s="20">
        <f>COUNTIFS('Log'!$E$4:$E$153,"Confused",'Log'!$F$4:$F$153,"Yes")</f>
        <v/>
      </c>
    </row>
    <row r="11">
      <c r="A11" s="19" t="inlineStr">
        <is>
          <t>Using something else</t>
        </is>
      </c>
      <c r="B11" s="20">
        <f>COUNTIF('Log'!$E$4:$E$153,"Using something else")</f>
        <v/>
      </c>
      <c r="C11" s="21">
        <f>IF(COUNTA('Log'!$E$4:$E$153)=0,"",COUNTIF('Log'!$E$4:$E$153,"Using something else")/COUNTA('Log'!$E$4:$E$153))</f>
        <v/>
      </c>
      <c r="D11" s="20">
        <f>COUNTIFS('Log'!$E$4:$E$153,"Using something else",'Log'!$F$4:$F$153,"Yes")</f>
        <v/>
      </c>
    </row>
    <row r="12">
      <c r="A12" s="19" t="inlineStr">
        <is>
          <t>Other</t>
        </is>
      </c>
      <c r="B12" s="20">
        <f>COUNTIF('Log'!$E$4:$E$153,"Other")</f>
        <v/>
      </c>
      <c r="C12" s="21">
        <f>IF(COUNTA('Log'!$E$4:$E$153)=0,"",COUNTIF('Log'!$E$4:$E$153,"Other")/COUNTA('Log'!$E$4:$E$153))</f>
        <v/>
      </c>
      <c r="D12" s="20">
        <f>COUNTIFS('Log'!$E$4:$E$153,"Other",'Log'!$F$4:$F$153,"Yes")</f>
        <v/>
      </c>
    </row>
    <row r="14">
      <c r="A14" s="1" t="inlineStr">
        <is>
          <t>WHAT TO FIX FIRST</t>
        </is>
      </c>
    </row>
    <row r="15">
      <c r="A15" s="22" t="inlineStr">
        <is>
          <t>Most common objection type</t>
        </is>
      </c>
      <c r="B15" s="23">
        <f>IF(MAX($B$5:$B$12)=0,"Log objections first",INDEX($A$5:$A$12,MATCH(MAX($B$5:$B$12),$B$5:$B$12,0)))</f>
        <v/>
      </c>
    </row>
    <row r="16">
      <c r="A16" s="19" t="inlineStr">
        <is>
          <t>Objections logged</t>
        </is>
      </c>
      <c r="B16" s="20">
        <f>COUNTA('Log'!$D$4:$D$153)</f>
        <v/>
      </c>
    </row>
    <row r="17">
      <c r="A17" s="19" t="inlineStr">
        <is>
          <t>Not yet answered on your page</t>
        </is>
      </c>
      <c r="B17" s="20">
        <f>COUNTIF('Log'!$H$4:$H$153,"No")</f>
        <v/>
      </c>
    </row>
    <row r="19">
      <c r="A19" s="1" t="inlineStr">
        <is>
          <t>YOUR FAQ (TOP THREE, IN THEIR WORDS)</t>
        </is>
      </c>
    </row>
    <row r="20" ht="30" customHeight="1">
      <c r="A20" s="19" t="inlineStr">
        <is>
          <t>Question 1</t>
        </is>
      </c>
      <c r="B20" s="18" t="inlineStr">
        <is>
          <t>Will it ruin my suede?</t>
        </is>
      </c>
    </row>
    <row r="21" ht="44" customHeight="1">
      <c r="A21" s="19" t="inlineStr">
        <is>
          <t>Answer 1 (plain and true)</t>
        </is>
      </c>
      <c r="B21" s="18" t="inlineStr">
        <is>
          <t>No. Suede gets a dry clean and a soft brush, never water. If you are not happy, I redo it free, then refund you.</t>
        </is>
      </c>
    </row>
    <row r="22" ht="30" customHeight="1">
      <c r="A22" s="19" t="inlineStr">
        <is>
          <t>Question 2</t>
        </is>
      </c>
      <c r="B22" s="18" t="inlineStr">
        <is>
          <t>How long do I go without my shoes?</t>
        </is>
      </c>
    </row>
    <row r="23" ht="44" customHeight="1">
      <c r="A23" s="19" t="inlineStr">
        <is>
          <t>Answer 2</t>
        </is>
      </c>
      <c r="B23" s="18" t="inlineStr">
        <is>
          <t>24 hours. I pick up and drop off on campus.</t>
        </is>
      </c>
    </row>
    <row r="24" ht="30" customHeight="1">
      <c r="A24" s="19" t="inlineStr">
        <is>
          <t>Question 3</t>
        </is>
      </c>
      <c r="B24" s="18" t="inlineStr">
        <is>
          <t>$30 is a lot for a clean.</t>
        </is>
      </c>
    </row>
    <row r="25" ht="44" customHeight="1">
      <c r="A25" s="19" t="inlineStr">
        <is>
          <t>Answer 3</t>
        </is>
      </c>
      <c r="B25" s="18" t="inlineStr">
        <is>
          <t>The mall shop charges $35 and keeps them for a week. This is $30 and back tomorrow.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Objection Log</dc:title>
  <dcterms:created xmlns:dcterms="http://purl.org/dc/terms/" xmlns:xsi="http://www.w3.org/2001/XMLSchema-instance" xsi:type="dcterms:W3CDTF">2026-10-16T10:26:32Z</dcterms:created>
  <dcterms:modified xmlns:dcterms="http://purl.org/dc/terms/" xmlns:xsi="http://www.w3.org/2001/XMLSchema-instance" xsi:type="dcterms:W3CDTF">2026-10-16T10:26:32Z</dcterms:modified>
</cp:coreProperties>
</file>