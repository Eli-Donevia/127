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1" hidden="1">'Pipeline'!$A$3:$R$203</definedName>
    <definedName name="_xlnm.Print_Titles" localSheetId="1">'Pipeline'!$3:$3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d, mmm d"/>
    <numFmt numFmtId="165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164" fontId="13" fillId="3" borderId="1" applyAlignment="1" pivotButton="0" quotePrefix="0" xfId="0">
      <alignment vertical="top"/>
    </xf>
    <xf numFmtId="0" fontId="8" fillId="4" borderId="1" applyAlignment="1" pivotButton="0" quotePrefix="0" xfId="0">
      <alignment vertical="top"/>
    </xf>
    <xf numFmtId="165" fontId="5" fillId="2" borderId="1" applyAlignment="1" pivotButton="0" quotePrefix="0" xfId="0">
      <alignment vertical="top"/>
    </xf>
    <xf numFmtId="0" fontId="8" fillId="0" borderId="3" applyAlignment="1" pivotButton="0" quotePrefix="0" xfId="0">
      <alignment vertical="top" wrapText="1"/>
    </xf>
    <xf numFmtId="3" fontId="8" fillId="4" borderId="1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 wrapText="1"/>
    </xf>
    <xf numFmtId="165" fontId="8" fillId="4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</font>
      <fill>
        <patternFill patternType="solid">
          <fgColor rgb="00FFF3D6"/>
          <bgColor rgb="00FFF3D6"/>
        </patternFill>
      </fill>
    </dxf>
    <dxf>
      <font>
        <name val="Arial"/>
        <b val="1"/>
      </font>
      <fill>
        <patternFill patternType="solid">
          <fgColor rgb="00DDF3E7"/>
          <bgColor rgb="00DDF3E7"/>
        </patternFill>
      </fill>
    </dxf>
    <dxf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Pipeline Tracker</t>
        </is>
      </c>
    </row>
    <row r="4" ht="30" customHeight="1">
      <c r="B4" s="3" t="inlineStr">
        <is>
          <t>One list for every person you could sell to: your warm list, outreach, follow-ups on day 3, 7 and 14, and who's due today.</t>
        </is>
      </c>
    </row>
    <row r="6">
      <c r="B6" s="1" t="inlineStr">
        <is>
          <t>HOW TO USE IT</t>
        </is>
      </c>
    </row>
    <row r="7" ht="32" customHeight="1">
      <c r="B7" s="4" t="inlineStr">
        <is>
          <t>1.  Write 20 names in the Pipeline tab. People who might buy, know someone who would, or give honest feedback.</t>
        </is>
      </c>
    </row>
    <row r="8" ht="32" customHeight="1">
      <c r="B8" s="4" t="inlineStr">
        <is>
          <t>2.  Add how you know them and their problem in their words. Personal first lines come from this column.</t>
        </is>
      </c>
    </row>
    <row r="9" ht="16" customHeight="1">
      <c r="B9" s="4" t="inlineStr">
        <is>
          <t>3.  Send your first message and log the date. Day 3, 7 and 14 follow-up dates fill in for you.</t>
        </is>
      </c>
    </row>
    <row r="10" ht="16" customHeight="1">
      <c r="B10" s="4" t="inlineStr">
        <is>
          <t>4.  Move the Stage as things happen. Every open row gets a next step and a date.</t>
        </is>
      </c>
    </row>
    <row r="11" ht="16" customHeight="1">
      <c r="B11" s="4" t="inlineStr">
        <is>
          <t>5.  Each morning, filter Due? for Due or Follow up. That's your list for today.</t>
        </is>
      </c>
    </row>
    <row r="12" ht="16" customHeight="1">
      <c r="B12" s="4" t="inlineStr">
        <is>
          <t>6.  Check the Dashboard tab once a week: replies, calls, wins and money won.</t>
        </is>
      </c>
    </row>
    <row r="13" ht="32" customHeight="1">
      <c r="B13" s="4" t="inlineStr">
        <is>
          <t>7.  Want an email each morning with who's due? Set up the Follow-Up Reminders recipe on this sheet.</t>
        </is>
      </c>
    </row>
    <row r="15">
      <c r="B15" s="1" t="inlineStr">
        <is>
          <t>CELL COLORS</t>
        </is>
      </c>
    </row>
    <row r="16">
      <c r="B16" s="5" t="inlineStr">
        <is>
          <t>White cells: you type here.</t>
        </is>
      </c>
    </row>
    <row r="17">
      <c r="B17" s="6" t="inlineStr">
        <is>
          <t>Grey cells: calculated for you. Leave them alone.</t>
        </is>
      </c>
    </row>
    <row r="18">
      <c r="B18" s="7" t="inlineStr">
        <is>
          <t>Lilac cells: the answer you came for.</t>
        </is>
      </c>
    </row>
    <row r="20">
      <c r="B20" s="1" t="inlineStr">
        <is>
          <t>OPEN IT ANYWHERE</t>
        </is>
      </c>
    </row>
    <row r="21" ht="30" customHeight="1">
      <c r="B21" s="8" t="inlineStr">
        <is>
          <t>Google Sheets: go to sheets.new, then File &gt; Import &gt; Upload this file &gt; Replace spreadsheet. Formulas and dropdowns come with it.</t>
        </is>
      </c>
    </row>
    <row r="22" ht="15" customHeight="1">
      <c r="B22" s="8" t="inlineStr">
        <is>
          <t>Excel: double-click the file. Numbers on a Mac: open it with Numbers.</t>
        </is>
      </c>
    </row>
    <row r="23" ht="15" customHeight="1">
      <c r="B23" s="8" t="inlineStr">
        <is>
          <t>Phone: upload it to Google Drive, then open it in the Google Sheets app.</t>
        </is>
      </c>
    </row>
    <row r="25" ht="15" customHeight="1">
      <c r="B25" s="9" t="inlineStr">
        <is>
          <t>Integrity rules: no fake scarcity, no guilt trips, and if someone asks you to stop, stop.</t>
        </is>
      </c>
    </row>
    <row r="27" ht="15" customHeight="1">
      <c r="B27" s="9" t="inlineStr">
        <is>
          <t>Outgrowing the sheet? The CSV file imports into Attio or a Notion database.</t>
        </is>
      </c>
    </row>
    <row r="29">
      <c r="B29" s="10" t="inlineStr">
        <is>
          <t>Make today day one.  ·  127group.io</t>
        </is>
      </c>
    </row>
    <row r="30">
      <c r="B30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0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0" customWidth="1" min="4" max="4"/>
    <col width="28" customWidth="1" min="5" max="5"/>
    <col width="12" customWidth="1" min="6" max="6"/>
    <col width="1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4" customWidth="1" min="13" max="13"/>
    <col width="11" customWidth="1" min="14" max="14"/>
    <col width="10" customWidth="1" min="15" max="15"/>
    <col width="10" customWidth="1" min="16" max="16"/>
    <col width="14" customWidth="1" min="17" max="17"/>
    <col width="26" customWidth="1" min="18" max="18"/>
  </cols>
  <sheetData>
    <row r="1" ht="26" customHeight="1">
      <c r="A1" s="12" t="inlineStr">
        <is>
          <t>Pipeline Tracker</t>
        </is>
      </c>
    </row>
    <row r="2" ht="16" customHeight="1">
      <c r="A2" s="13" t="inlineStr">
        <is>
          <t>One row per person. Every open row gets a next step and a date.</t>
        </is>
      </c>
    </row>
    <row r="3" ht="40" customHeight="1">
      <c r="A3" s="14" t="inlineStr">
        <is>
          <t>Name</t>
        </is>
      </c>
      <c r="B3" s="14" t="inlineStr">
        <is>
          <t>How you know them</t>
        </is>
      </c>
      <c r="C3" s="14" t="inlineStr">
        <is>
          <t>Contact (handle, phone or email)</t>
        </is>
      </c>
      <c r="D3" s="14" t="inlineStr">
        <is>
          <t>Type</t>
        </is>
      </c>
      <c r="E3" s="14" t="inlineStr">
        <is>
          <t>Their problem, in their words</t>
        </is>
      </c>
      <c r="F3" s="14" t="inlineStr">
        <is>
          <t>Stage</t>
        </is>
      </c>
      <c r="G3" s="14" t="inlineStr">
        <is>
          <t>Script used</t>
        </is>
      </c>
      <c r="H3" s="14" t="inlineStr">
        <is>
          <t>First message</t>
        </is>
      </c>
      <c r="I3" s="15" t="inlineStr">
        <is>
          <t>Follow-up 1 (day 3)</t>
        </is>
      </c>
      <c r="J3" s="15" t="inlineStr">
        <is>
          <t>Follow-up 2 (day 7)</t>
        </is>
      </c>
      <c r="K3" s="15" t="inlineStr">
        <is>
          <t>Close the loop (day 14)</t>
        </is>
      </c>
      <c r="L3" s="14" t="inlineStr">
        <is>
          <t>Last contact</t>
        </is>
      </c>
      <c r="M3" s="14" t="inlineStr">
        <is>
          <t>Next step</t>
        </is>
      </c>
      <c r="N3" s="14" t="inlineStr">
        <is>
          <t>Next step date</t>
        </is>
      </c>
      <c r="O3" s="15" t="inlineStr">
        <is>
          <t>Due?</t>
        </is>
      </c>
      <c r="P3" s="14" t="inlineStr">
        <is>
          <t>Paid or deal value ($)</t>
        </is>
      </c>
      <c r="Q3" s="14" t="inlineStr">
        <is>
          <t>Referred by</t>
        </is>
      </c>
      <c r="R3" s="14" t="inlineStr">
        <is>
          <t>Notes</t>
        </is>
      </c>
    </row>
    <row r="4">
      <c r="A4" s="16" t="n"/>
      <c r="B4" s="16" t="n"/>
      <c r="C4" s="16" t="n"/>
      <c r="D4" s="16" t="n"/>
      <c r="E4" s="17" t="n"/>
      <c r="F4" s="16" t="n"/>
      <c r="G4" s="16" t="n"/>
      <c r="H4" s="18" t="n"/>
      <c r="I4" s="19">
        <f>IF(ISNUMBER(H4),H4+3,"")</f>
        <v/>
      </c>
      <c r="J4" s="19">
        <f>IF(ISNUMBER(H4),H4+7,"")</f>
        <v/>
      </c>
      <c r="K4" s="19">
        <f>IF(ISNUMBER(H4),H4+14,"")</f>
        <v/>
      </c>
      <c r="L4" s="18" t="n"/>
      <c r="M4" s="17" t="n"/>
      <c r="N4" s="18" t="n"/>
      <c r="O4" s="20">
        <f>IF(OR(A4="",F4="Won",F4="Lost",F4="Not now"),"",IF(AND(ISNUMBER(N4),N4&lt;=TODAY()),"Due",IF(AND(F4="Messaged",ISNUMBER(H4),NOT(ISNUMBER(N4)),TODAY()-H4&gt;=3,TODAY()-H4&lt;=14),"Follow up","")))</f>
        <v/>
      </c>
      <c r="P4" s="21" t="n"/>
      <c r="Q4" s="16" t="n"/>
      <c r="R4" s="17" t="n"/>
    </row>
    <row r="5">
      <c r="A5" s="16" t="n"/>
      <c r="B5" s="16" t="n"/>
      <c r="C5" s="16" t="n"/>
      <c r="D5" s="16" t="n"/>
      <c r="E5" s="17" t="n"/>
      <c r="F5" s="16" t="n"/>
      <c r="G5" s="16" t="n"/>
      <c r="H5" s="18" t="n"/>
      <c r="I5" s="19">
        <f>IF(ISNUMBER(H5),H5+3,"")</f>
        <v/>
      </c>
      <c r="J5" s="19">
        <f>IF(ISNUMBER(H5),H5+7,"")</f>
        <v/>
      </c>
      <c r="K5" s="19">
        <f>IF(ISNUMBER(H5),H5+14,"")</f>
        <v/>
      </c>
      <c r="L5" s="18" t="n"/>
      <c r="M5" s="17" t="n"/>
      <c r="N5" s="18" t="n"/>
      <c r="O5" s="20">
        <f>IF(OR(A5="",F5="Won",F5="Lost",F5="Not now"),"",IF(AND(ISNUMBER(N5),N5&lt;=TODAY()),"Due",IF(AND(F5="Messaged",ISNUMBER(H5),NOT(ISNUMBER(N5)),TODAY()-H5&gt;=3,TODAY()-H5&lt;=14),"Follow up","")))</f>
        <v/>
      </c>
      <c r="P5" s="21" t="n"/>
      <c r="Q5" s="16" t="n"/>
      <c r="R5" s="17" t="n"/>
    </row>
    <row r="6">
      <c r="A6" s="16" t="n"/>
      <c r="B6" s="16" t="n"/>
      <c r="C6" s="16" t="n"/>
      <c r="D6" s="16" t="n"/>
      <c r="E6" s="17" t="n"/>
      <c r="F6" s="16" t="n"/>
      <c r="G6" s="16" t="n"/>
      <c r="H6" s="18" t="n"/>
      <c r="I6" s="19">
        <f>IF(ISNUMBER(H6),H6+3,"")</f>
        <v/>
      </c>
      <c r="J6" s="19">
        <f>IF(ISNUMBER(H6),H6+7,"")</f>
        <v/>
      </c>
      <c r="K6" s="19">
        <f>IF(ISNUMBER(H6),H6+14,"")</f>
        <v/>
      </c>
      <c r="L6" s="18" t="n"/>
      <c r="M6" s="17" t="n"/>
      <c r="N6" s="18" t="n"/>
      <c r="O6" s="20">
        <f>IF(OR(A6="",F6="Won",F6="Lost",F6="Not now"),"",IF(AND(ISNUMBER(N6),N6&lt;=TODAY()),"Due",IF(AND(F6="Messaged",ISNUMBER(H6),NOT(ISNUMBER(N6)),TODAY()-H6&gt;=3,TODAY()-H6&lt;=14),"Follow up","")))</f>
        <v/>
      </c>
      <c r="P6" s="21" t="n"/>
      <c r="Q6" s="16" t="n"/>
      <c r="R6" s="17" t="n"/>
    </row>
    <row r="7">
      <c r="A7" s="16" t="n"/>
      <c r="B7" s="16" t="n"/>
      <c r="C7" s="16" t="n"/>
      <c r="D7" s="16" t="n"/>
      <c r="E7" s="17" t="n"/>
      <c r="F7" s="16" t="n"/>
      <c r="G7" s="16" t="n"/>
      <c r="H7" s="18" t="n"/>
      <c r="I7" s="19">
        <f>IF(ISNUMBER(H7),H7+3,"")</f>
        <v/>
      </c>
      <c r="J7" s="19">
        <f>IF(ISNUMBER(H7),H7+7,"")</f>
        <v/>
      </c>
      <c r="K7" s="19">
        <f>IF(ISNUMBER(H7),H7+14,"")</f>
        <v/>
      </c>
      <c r="L7" s="18" t="n"/>
      <c r="M7" s="17" t="n"/>
      <c r="N7" s="18" t="n"/>
      <c r="O7" s="20">
        <f>IF(OR(A7="",F7="Won",F7="Lost",F7="Not now"),"",IF(AND(ISNUMBER(N7),N7&lt;=TODAY()),"Due",IF(AND(F7="Messaged",ISNUMBER(H7),NOT(ISNUMBER(N7)),TODAY()-H7&gt;=3,TODAY()-H7&lt;=14),"Follow up","")))</f>
        <v/>
      </c>
      <c r="P7" s="21" t="n"/>
      <c r="Q7" s="16" t="n"/>
      <c r="R7" s="17" t="n"/>
    </row>
    <row r="8">
      <c r="A8" s="16" t="n"/>
      <c r="B8" s="16" t="n"/>
      <c r="C8" s="16" t="n"/>
      <c r="D8" s="16" t="n"/>
      <c r="E8" s="17" t="n"/>
      <c r="F8" s="16" t="n"/>
      <c r="G8" s="16" t="n"/>
      <c r="H8" s="18" t="n"/>
      <c r="I8" s="19">
        <f>IF(ISNUMBER(H8),H8+3,"")</f>
        <v/>
      </c>
      <c r="J8" s="19">
        <f>IF(ISNUMBER(H8),H8+7,"")</f>
        <v/>
      </c>
      <c r="K8" s="19">
        <f>IF(ISNUMBER(H8),H8+14,"")</f>
        <v/>
      </c>
      <c r="L8" s="18" t="n"/>
      <c r="M8" s="17" t="n"/>
      <c r="N8" s="18" t="n"/>
      <c r="O8" s="20">
        <f>IF(OR(A8="",F8="Won",F8="Lost",F8="Not now"),"",IF(AND(ISNUMBER(N8),N8&lt;=TODAY()),"Due",IF(AND(F8="Messaged",ISNUMBER(H8),NOT(ISNUMBER(N8)),TODAY()-H8&gt;=3,TODAY()-H8&lt;=14),"Follow up","")))</f>
        <v/>
      </c>
      <c r="P8" s="21" t="n"/>
      <c r="Q8" s="16" t="n"/>
      <c r="R8" s="17" t="n"/>
    </row>
    <row r="9">
      <c r="A9" s="16" t="n"/>
      <c r="B9" s="16" t="n"/>
      <c r="C9" s="16" t="n"/>
      <c r="D9" s="16" t="n"/>
      <c r="E9" s="17" t="n"/>
      <c r="F9" s="16" t="n"/>
      <c r="G9" s="16" t="n"/>
      <c r="H9" s="18" t="n"/>
      <c r="I9" s="19">
        <f>IF(ISNUMBER(H9),H9+3,"")</f>
        <v/>
      </c>
      <c r="J9" s="19">
        <f>IF(ISNUMBER(H9),H9+7,"")</f>
        <v/>
      </c>
      <c r="K9" s="19">
        <f>IF(ISNUMBER(H9),H9+14,"")</f>
        <v/>
      </c>
      <c r="L9" s="18" t="n"/>
      <c r="M9" s="17" t="n"/>
      <c r="N9" s="18" t="n"/>
      <c r="O9" s="20">
        <f>IF(OR(A9="",F9="Won",F9="Lost",F9="Not now"),"",IF(AND(ISNUMBER(N9),N9&lt;=TODAY()),"Due",IF(AND(F9="Messaged",ISNUMBER(H9),NOT(ISNUMBER(N9)),TODAY()-H9&gt;=3,TODAY()-H9&lt;=14),"Follow up","")))</f>
        <v/>
      </c>
      <c r="P9" s="21" t="n"/>
      <c r="Q9" s="16" t="n"/>
      <c r="R9" s="17" t="n"/>
    </row>
    <row r="10">
      <c r="A10" s="16" t="n"/>
      <c r="B10" s="16" t="n"/>
      <c r="C10" s="16" t="n"/>
      <c r="D10" s="16" t="n"/>
      <c r="E10" s="17" t="n"/>
      <c r="F10" s="16" t="n"/>
      <c r="G10" s="16" t="n"/>
      <c r="H10" s="18" t="n"/>
      <c r="I10" s="19">
        <f>IF(ISNUMBER(H10),H10+3,"")</f>
        <v/>
      </c>
      <c r="J10" s="19">
        <f>IF(ISNUMBER(H10),H10+7,"")</f>
        <v/>
      </c>
      <c r="K10" s="19">
        <f>IF(ISNUMBER(H10),H10+14,"")</f>
        <v/>
      </c>
      <c r="L10" s="18" t="n"/>
      <c r="M10" s="17" t="n"/>
      <c r="N10" s="18" t="n"/>
      <c r="O10" s="20">
        <f>IF(OR(A10="",F10="Won",F10="Lost",F10="Not now"),"",IF(AND(ISNUMBER(N10),N10&lt;=TODAY()),"Due",IF(AND(F10="Messaged",ISNUMBER(H10),NOT(ISNUMBER(N10)),TODAY()-H10&gt;=3,TODAY()-H10&lt;=14),"Follow up","")))</f>
        <v/>
      </c>
      <c r="P10" s="21" t="n"/>
      <c r="Q10" s="16" t="n"/>
      <c r="R10" s="17" t="n"/>
    </row>
    <row r="11">
      <c r="A11" s="16" t="n"/>
      <c r="B11" s="16" t="n"/>
      <c r="C11" s="16" t="n"/>
      <c r="D11" s="16" t="n"/>
      <c r="E11" s="17" t="n"/>
      <c r="F11" s="16" t="n"/>
      <c r="G11" s="16" t="n"/>
      <c r="H11" s="18" t="n"/>
      <c r="I11" s="19">
        <f>IF(ISNUMBER(H11),H11+3,"")</f>
        <v/>
      </c>
      <c r="J11" s="19">
        <f>IF(ISNUMBER(H11),H11+7,"")</f>
        <v/>
      </c>
      <c r="K11" s="19">
        <f>IF(ISNUMBER(H11),H11+14,"")</f>
        <v/>
      </c>
      <c r="L11" s="18" t="n"/>
      <c r="M11" s="17" t="n"/>
      <c r="N11" s="18" t="n"/>
      <c r="O11" s="20">
        <f>IF(OR(A11="",F11="Won",F11="Lost",F11="Not now"),"",IF(AND(ISNUMBER(N11),N11&lt;=TODAY()),"Due",IF(AND(F11="Messaged",ISNUMBER(H11),NOT(ISNUMBER(N11)),TODAY()-H11&gt;=3,TODAY()-H11&lt;=14),"Follow up","")))</f>
        <v/>
      </c>
      <c r="P11" s="21" t="n"/>
      <c r="Q11" s="16" t="n"/>
      <c r="R11" s="17" t="n"/>
    </row>
    <row r="12">
      <c r="A12" s="16" t="n"/>
      <c r="B12" s="16" t="n"/>
      <c r="C12" s="16" t="n"/>
      <c r="D12" s="16" t="n"/>
      <c r="E12" s="17" t="n"/>
      <c r="F12" s="16" t="n"/>
      <c r="G12" s="16" t="n"/>
      <c r="H12" s="18" t="n"/>
      <c r="I12" s="19">
        <f>IF(ISNUMBER(H12),H12+3,"")</f>
        <v/>
      </c>
      <c r="J12" s="19">
        <f>IF(ISNUMBER(H12),H12+7,"")</f>
        <v/>
      </c>
      <c r="K12" s="19">
        <f>IF(ISNUMBER(H12),H12+14,"")</f>
        <v/>
      </c>
      <c r="L12" s="18" t="n"/>
      <c r="M12" s="17" t="n"/>
      <c r="N12" s="18" t="n"/>
      <c r="O12" s="20">
        <f>IF(OR(A12="",F12="Won",F12="Lost",F12="Not now"),"",IF(AND(ISNUMBER(N12),N12&lt;=TODAY()),"Due",IF(AND(F12="Messaged",ISNUMBER(H12),NOT(ISNUMBER(N12)),TODAY()-H12&gt;=3,TODAY()-H12&lt;=14),"Follow up","")))</f>
        <v/>
      </c>
      <c r="P12" s="21" t="n"/>
      <c r="Q12" s="16" t="n"/>
      <c r="R12" s="17" t="n"/>
    </row>
    <row r="13">
      <c r="A13" s="16" t="n"/>
      <c r="B13" s="16" t="n"/>
      <c r="C13" s="16" t="n"/>
      <c r="D13" s="16" t="n"/>
      <c r="E13" s="17" t="n"/>
      <c r="F13" s="16" t="n"/>
      <c r="G13" s="16" t="n"/>
      <c r="H13" s="18" t="n"/>
      <c r="I13" s="19">
        <f>IF(ISNUMBER(H13),H13+3,"")</f>
        <v/>
      </c>
      <c r="J13" s="19">
        <f>IF(ISNUMBER(H13),H13+7,"")</f>
        <v/>
      </c>
      <c r="K13" s="19">
        <f>IF(ISNUMBER(H13),H13+14,"")</f>
        <v/>
      </c>
      <c r="L13" s="18" t="n"/>
      <c r="M13" s="17" t="n"/>
      <c r="N13" s="18" t="n"/>
      <c r="O13" s="20">
        <f>IF(OR(A13="",F13="Won",F13="Lost",F13="Not now"),"",IF(AND(ISNUMBER(N13),N13&lt;=TODAY()),"Due",IF(AND(F13="Messaged",ISNUMBER(H13),NOT(ISNUMBER(N13)),TODAY()-H13&gt;=3,TODAY()-H13&lt;=14),"Follow up","")))</f>
        <v/>
      </c>
      <c r="P13" s="21" t="n"/>
      <c r="Q13" s="16" t="n"/>
      <c r="R13" s="17" t="n"/>
    </row>
    <row r="14">
      <c r="A14" s="16" t="n"/>
      <c r="B14" s="16" t="n"/>
      <c r="C14" s="16" t="n"/>
      <c r="D14" s="16" t="n"/>
      <c r="E14" s="17" t="n"/>
      <c r="F14" s="16" t="n"/>
      <c r="G14" s="16" t="n"/>
      <c r="H14" s="18" t="n"/>
      <c r="I14" s="19">
        <f>IF(ISNUMBER(H14),H14+3,"")</f>
        <v/>
      </c>
      <c r="J14" s="19">
        <f>IF(ISNUMBER(H14),H14+7,"")</f>
        <v/>
      </c>
      <c r="K14" s="19">
        <f>IF(ISNUMBER(H14),H14+14,"")</f>
        <v/>
      </c>
      <c r="L14" s="18" t="n"/>
      <c r="M14" s="17" t="n"/>
      <c r="N14" s="18" t="n"/>
      <c r="O14" s="20">
        <f>IF(OR(A14="",F14="Won",F14="Lost",F14="Not now"),"",IF(AND(ISNUMBER(N14),N14&lt;=TODAY()),"Due",IF(AND(F14="Messaged",ISNUMBER(H14),NOT(ISNUMBER(N14)),TODAY()-H14&gt;=3,TODAY()-H14&lt;=14),"Follow up","")))</f>
        <v/>
      </c>
      <c r="P14" s="21" t="n"/>
      <c r="Q14" s="16" t="n"/>
      <c r="R14" s="17" t="n"/>
    </row>
    <row r="15">
      <c r="A15" s="16" t="n"/>
      <c r="B15" s="16" t="n"/>
      <c r="C15" s="16" t="n"/>
      <c r="D15" s="16" t="n"/>
      <c r="E15" s="17" t="n"/>
      <c r="F15" s="16" t="n"/>
      <c r="G15" s="16" t="n"/>
      <c r="H15" s="18" t="n"/>
      <c r="I15" s="19">
        <f>IF(ISNUMBER(H15),H15+3,"")</f>
        <v/>
      </c>
      <c r="J15" s="19">
        <f>IF(ISNUMBER(H15),H15+7,"")</f>
        <v/>
      </c>
      <c r="K15" s="19">
        <f>IF(ISNUMBER(H15),H15+14,"")</f>
        <v/>
      </c>
      <c r="L15" s="18" t="n"/>
      <c r="M15" s="17" t="n"/>
      <c r="N15" s="18" t="n"/>
      <c r="O15" s="20">
        <f>IF(OR(A15="",F15="Won",F15="Lost",F15="Not now"),"",IF(AND(ISNUMBER(N15),N15&lt;=TODAY()),"Due",IF(AND(F15="Messaged",ISNUMBER(H15),NOT(ISNUMBER(N15)),TODAY()-H15&gt;=3,TODAY()-H15&lt;=14),"Follow up","")))</f>
        <v/>
      </c>
      <c r="P15" s="21" t="n"/>
      <c r="Q15" s="16" t="n"/>
      <c r="R15" s="17" t="n"/>
    </row>
    <row r="16">
      <c r="A16" s="16" t="n"/>
      <c r="B16" s="16" t="n"/>
      <c r="C16" s="16" t="n"/>
      <c r="D16" s="16" t="n"/>
      <c r="E16" s="17" t="n"/>
      <c r="F16" s="16" t="n"/>
      <c r="G16" s="16" t="n"/>
      <c r="H16" s="18" t="n"/>
      <c r="I16" s="19">
        <f>IF(ISNUMBER(H16),H16+3,"")</f>
        <v/>
      </c>
      <c r="J16" s="19">
        <f>IF(ISNUMBER(H16),H16+7,"")</f>
        <v/>
      </c>
      <c r="K16" s="19">
        <f>IF(ISNUMBER(H16),H16+14,"")</f>
        <v/>
      </c>
      <c r="L16" s="18" t="n"/>
      <c r="M16" s="17" t="n"/>
      <c r="N16" s="18" t="n"/>
      <c r="O16" s="20">
        <f>IF(OR(A16="",F16="Won",F16="Lost",F16="Not now"),"",IF(AND(ISNUMBER(N16),N16&lt;=TODAY()),"Due",IF(AND(F16="Messaged",ISNUMBER(H16),NOT(ISNUMBER(N16)),TODAY()-H16&gt;=3,TODAY()-H16&lt;=14),"Follow up","")))</f>
        <v/>
      </c>
      <c r="P16" s="21" t="n"/>
      <c r="Q16" s="16" t="n"/>
      <c r="R16" s="17" t="n"/>
    </row>
    <row r="17">
      <c r="A17" s="16" t="n"/>
      <c r="B17" s="16" t="n"/>
      <c r="C17" s="16" t="n"/>
      <c r="D17" s="16" t="n"/>
      <c r="E17" s="17" t="n"/>
      <c r="F17" s="16" t="n"/>
      <c r="G17" s="16" t="n"/>
      <c r="H17" s="18" t="n"/>
      <c r="I17" s="19">
        <f>IF(ISNUMBER(H17),H17+3,"")</f>
        <v/>
      </c>
      <c r="J17" s="19">
        <f>IF(ISNUMBER(H17),H17+7,"")</f>
        <v/>
      </c>
      <c r="K17" s="19">
        <f>IF(ISNUMBER(H17),H17+14,"")</f>
        <v/>
      </c>
      <c r="L17" s="18" t="n"/>
      <c r="M17" s="17" t="n"/>
      <c r="N17" s="18" t="n"/>
      <c r="O17" s="20">
        <f>IF(OR(A17="",F17="Won",F17="Lost",F17="Not now"),"",IF(AND(ISNUMBER(N17),N17&lt;=TODAY()),"Due",IF(AND(F17="Messaged",ISNUMBER(H17),NOT(ISNUMBER(N17)),TODAY()-H17&gt;=3,TODAY()-H17&lt;=14),"Follow up","")))</f>
        <v/>
      </c>
      <c r="P17" s="21" t="n"/>
      <c r="Q17" s="16" t="n"/>
      <c r="R17" s="17" t="n"/>
    </row>
    <row r="18">
      <c r="A18" s="16" t="n"/>
      <c r="B18" s="16" t="n"/>
      <c r="C18" s="16" t="n"/>
      <c r="D18" s="16" t="n"/>
      <c r="E18" s="17" t="n"/>
      <c r="F18" s="16" t="n"/>
      <c r="G18" s="16" t="n"/>
      <c r="H18" s="18" t="n"/>
      <c r="I18" s="19">
        <f>IF(ISNUMBER(H18),H18+3,"")</f>
        <v/>
      </c>
      <c r="J18" s="19">
        <f>IF(ISNUMBER(H18),H18+7,"")</f>
        <v/>
      </c>
      <c r="K18" s="19">
        <f>IF(ISNUMBER(H18),H18+14,"")</f>
        <v/>
      </c>
      <c r="L18" s="18" t="n"/>
      <c r="M18" s="17" t="n"/>
      <c r="N18" s="18" t="n"/>
      <c r="O18" s="20">
        <f>IF(OR(A18="",F18="Won",F18="Lost",F18="Not now"),"",IF(AND(ISNUMBER(N18),N18&lt;=TODAY()),"Due",IF(AND(F18="Messaged",ISNUMBER(H18),NOT(ISNUMBER(N18)),TODAY()-H18&gt;=3,TODAY()-H18&lt;=14),"Follow up","")))</f>
        <v/>
      </c>
      <c r="P18" s="21" t="n"/>
      <c r="Q18" s="16" t="n"/>
      <c r="R18" s="17" t="n"/>
    </row>
    <row r="19">
      <c r="A19" s="16" t="n"/>
      <c r="B19" s="16" t="n"/>
      <c r="C19" s="16" t="n"/>
      <c r="D19" s="16" t="n"/>
      <c r="E19" s="17" t="n"/>
      <c r="F19" s="16" t="n"/>
      <c r="G19" s="16" t="n"/>
      <c r="H19" s="18" t="n"/>
      <c r="I19" s="19">
        <f>IF(ISNUMBER(H19),H19+3,"")</f>
        <v/>
      </c>
      <c r="J19" s="19">
        <f>IF(ISNUMBER(H19),H19+7,"")</f>
        <v/>
      </c>
      <c r="K19" s="19">
        <f>IF(ISNUMBER(H19),H19+14,"")</f>
        <v/>
      </c>
      <c r="L19" s="18" t="n"/>
      <c r="M19" s="17" t="n"/>
      <c r="N19" s="18" t="n"/>
      <c r="O19" s="20">
        <f>IF(OR(A19="",F19="Won",F19="Lost",F19="Not now"),"",IF(AND(ISNUMBER(N19),N19&lt;=TODAY()),"Due",IF(AND(F19="Messaged",ISNUMBER(H19),NOT(ISNUMBER(N19)),TODAY()-H19&gt;=3,TODAY()-H19&lt;=14),"Follow up","")))</f>
        <v/>
      </c>
      <c r="P19" s="21" t="n"/>
      <c r="Q19" s="16" t="n"/>
      <c r="R19" s="17" t="n"/>
    </row>
    <row r="20">
      <c r="A20" s="16" t="n"/>
      <c r="B20" s="16" t="n"/>
      <c r="C20" s="16" t="n"/>
      <c r="D20" s="16" t="n"/>
      <c r="E20" s="17" t="n"/>
      <c r="F20" s="16" t="n"/>
      <c r="G20" s="16" t="n"/>
      <c r="H20" s="18" t="n"/>
      <c r="I20" s="19">
        <f>IF(ISNUMBER(H20),H20+3,"")</f>
        <v/>
      </c>
      <c r="J20" s="19">
        <f>IF(ISNUMBER(H20),H20+7,"")</f>
        <v/>
      </c>
      <c r="K20" s="19">
        <f>IF(ISNUMBER(H20),H20+14,"")</f>
        <v/>
      </c>
      <c r="L20" s="18" t="n"/>
      <c r="M20" s="17" t="n"/>
      <c r="N20" s="18" t="n"/>
      <c r="O20" s="20">
        <f>IF(OR(A20="",F20="Won",F20="Lost",F20="Not now"),"",IF(AND(ISNUMBER(N20),N20&lt;=TODAY()),"Due",IF(AND(F20="Messaged",ISNUMBER(H20),NOT(ISNUMBER(N20)),TODAY()-H20&gt;=3,TODAY()-H20&lt;=14),"Follow up","")))</f>
        <v/>
      </c>
      <c r="P20" s="21" t="n"/>
      <c r="Q20" s="16" t="n"/>
      <c r="R20" s="17" t="n"/>
    </row>
    <row r="21">
      <c r="A21" s="16" t="n"/>
      <c r="B21" s="16" t="n"/>
      <c r="C21" s="16" t="n"/>
      <c r="D21" s="16" t="n"/>
      <c r="E21" s="17" t="n"/>
      <c r="F21" s="16" t="n"/>
      <c r="G21" s="16" t="n"/>
      <c r="H21" s="18" t="n"/>
      <c r="I21" s="19">
        <f>IF(ISNUMBER(H21),H21+3,"")</f>
        <v/>
      </c>
      <c r="J21" s="19">
        <f>IF(ISNUMBER(H21),H21+7,"")</f>
        <v/>
      </c>
      <c r="K21" s="19">
        <f>IF(ISNUMBER(H21),H21+14,"")</f>
        <v/>
      </c>
      <c r="L21" s="18" t="n"/>
      <c r="M21" s="17" t="n"/>
      <c r="N21" s="18" t="n"/>
      <c r="O21" s="20">
        <f>IF(OR(A21="",F21="Won",F21="Lost",F21="Not now"),"",IF(AND(ISNUMBER(N21),N21&lt;=TODAY()),"Due",IF(AND(F21="Messaged",ISNUMBER(H21),NOT(ISNUMBER(N21)),TODAY()-H21&gt;=3,TODAY()-H21&lt;=14),"Follow up","")))</f>
        <v/>
      </c>
      <c r="P21" s="21" t="n"/>
      <c r="Q21" s="16" t="n"/>
      <c r="R21" s="17" t="n"/>
    </row>
    <row r="22">
      <c r="A22" s="16" t="n"/>
      <c r="B22" s="16" t="n"/>
      <c r="C22" s="16" t="n"/>
      <c r="D22" s="16" t="n"/>
      <c r="E22" s="17" t="n"/>
      <c r="F22" s="16" t="n"/>
      <c r="G22" s="16" t="n"/>
      <c r="H22" s="18" t="n"/>
      <c r="I22" s="19">
        <f>IF(ISNUMBER(H22),H22+3,"")</f>
        <v/>
      </c>
      <c r="J22" s="19">
        <f>IF(ISNUMBER(H22),H22+7,"")</f>
        <v/>
      </c>
      <c r="K22" s="19">
        <f>IF(ISNUMBER(H22),H22+14,"")</f>
        <v/>
      </c>
      <c r="L22" s="18" t="n"/>
      <c r="M22" s="17" t="n"/>
      <c r="N22" s="18" t="n"/>
      <c r="O22" s="20">
        <f>IF(OR(A22="",F22="Won",F22="Lost",F22="Not now"),"",IF(AND(ISNUMBER(N22),N22&lt;=TODAY()),"Due",IF(AND(F22="Messaged",ISNUMBER(H22),NOT(ISNUMBER(N22)),TODAY()-H22&gt;=3,TODAY()-H22&lt;=14),"Follow up","")))</f>
        <v/>
      </c>
      <c r="P22" s="21" t="n"/>
      <c r="Q22" s="16" t="n"/>
      <c r="R22" s="17" t="n"/>
    </row>
    <row r="23">
      <c r="A23" s="16" t="n"/>
      <c r="B23" s="16" t="n"/>
      <c r="C23" s="16" t="n"/>
      <c r="D23" s="16" t="n"/>
      <c r="E23" s="17" t="n"/>
      <c r="F23" s="16" t="n"/>
      <c r="G23" s="16" t="n"/>
      <c r="H23" s="18" t="n"/>
      <c r="I23" s="19">
        <f>IF(ISNUMBER(H23),H23+3,"")</f>
        <v/>
      </c>
      <c r="J23" s="19">
        <f>IF(ISNUMBER(H23),H23+7,"")</f>
        <v/>
      </c>
      <c r="K23" s="19">
        <f>IF(ISNUMBER(H23),H23+14,"")</f>
        <v/>
      </c>
      <c r="L23" s="18" t="n"/>
      <c r="M23" s="17" t="n"/>
      <c r="N23" s="18" t="n"/>
      <c r="O23" s="20">
        <f>IF(OR(A23="",F23="Won",F23="Lost",F23="Not now"),"",IF(AND(ISNUMBER(N23),N23&lt;=TODAY()),"Due",IF(AND(F23="Messaged",ISNUMBER(H23),NOT(ISNUMBER(N23)),TODAY()-H23&gt;=3,TODAY()-H23&lt;=14),"Follow up","")))</f>
        <v/>
      </c>
      <c r="P23" s="21" t="n"/>
      <c r="Q23" s="16" t="n"/>
      <c r="R23" s="17" t="n"/>
    </row>
    <row r="24">
      <c r="A24" s="16" t="n"/>
      <c r="B24" s="16" t="n"/>
      <c r="C24" s="16" t="n"/>
      <c r="D24" s="16" t="n"/>
      <c r="E24" s="17" t="n"/>
      <c r="F24" s="16" t="n"/>
      <c r="G24" s="16" t="n"/>
      <c r="H24" s="18" t="n"/>
      <c r="I24" s="19">
        <f>IF(ISNUMBER(H24),H24+3,"")</f>
        <v/>
      </c>
      <c r="J24" s="19">
        <f>IF(ISNUMBER(H24),H24+7,"")</f>
        <v/>
      </c>
      <c r="K24" s="19">
        <f>IF(ISNUMBER(H24),H24+14,"")</f>
        <v/>
      </c>
      <c r="L24" s="18" t="n"/>
      <c r="M24" s="17" t="n"/>
      <c r="N24" s="18" t="n"/>
      <c r="O24" s="20">
        <f>IF(OR(A24="",F24="Won",F24="Lost",F24="Not now"),"",IF(AND(ISNUMBER(N24),N24&lt;=TODAY()),"Due",IF(AND(F24="Messaged",ISNUMBER(H24),NOT(ISNUMBER(N24)),TODAY()-H24&gt;=3,TODAY()-H24&lt;=14),"Follow up","")))</f>
        <v/>
      </c>
      <c r="P24" s="21" t="n"/>
      <c r="Q24" s="16" t="n"/>
      <c r="R24" s="17" t="n"/>
    </row>
    <row r="25">
      <c r="A25" s="16" t="n"/>
      <c r="B25" s="16" t="n"/>
      <c r="C25" s="16" t="n"/>
      <c r="D25" s="16" t="n"/>
      <c r="E25" s="17" t="n"/>
      <c r="F25" s="16" t="n"/>
      <c r="G25" s="16" t="n"/>
      <c r="H25" s="18" t="n"/>
      <c r="I25" s="19">
        <f>IF(ISNUMBER(H25),H25+3,"")</f>
        <v/>
      </c>
      <c r="J25" s="19">
        <f>IF(ISNUMBER(H25),H25+7,"")</f>
        <v/>
      </c>
      <c r="K25" s="19">
        <f>IF(ISNUMBER(H25),H25+14,"")</f>
        <v/>
      </c>
      <c r="L25" s="18" t="n"/>
      <c r="M25" s="17" t="n"/>
      <c r="N25" s="18" t="n"/>
      <c r="O25" s="20">
        <f>IF(OR(A25="",F25="Won",F25="Lost",F25="Not now"),"",IF(AND(ISNUMBER(N25),N25&lt;=TODAY()),"Due",IF(AND(F25="Messaged",ISNUMBER(H25),NOT(ISNUMBER(N25)),TODAY()-H25&gt;=3,TODAY()-H25&lt;=14),"Follow up","")))</f>
        <v/>
      </c>
      <c r="P25" s="21" t="n"/>
      <c r="Q25" s="16" t="n"/>
      <c r="R25" s="17" t="n"/>
    </row>
    <row r="26">
      <c r="A26" s="16" t="n"/>
      <c r="B26" s="16" t="n"/>
      <c r="C26" s="16" t="n"/>
      <c r="D26" s="16" t="n"/>
      <c r="E26" s="17" t="n"/>
      <c r="F26" s="16" t="n"/>
      <c r="G26" s="16" t="n"/>
      <c r="H26" s="18" t="n"/>
      <c r="I26" s="19">
        <f>IF(ISNUMBER(H26),H26+3,"")</f>
        <v/>
      </c>
      <c r="J26" s="19">
        <f>IF(ISNUMBER(H26),H26+7,"")</f>
        <v/>
      </c>
      <c r="K26" s="19">
        <f>IF(ISNUMBER(H26),H26+14,"")</f>
        <v/>
      </c>
      <c r="L26" s="18" t="n"/>
      <c r="M26" s="17" t="n"/>
      <c r="N26" s="18" t="n"/>
      <c r="O26" s="20">
        <f>IF(OR(A26="",F26="Won",F26="Lost",F26="Not now"),"",IF(AND(ISNUMBER(N26),N26&lt;=TODAY()),"Due",IF(AND(F26="Messaged",ISNUMBER(H26),NOT(ISNUMBER(N26)),TODAY()-H26&gt;=3,TODAY()-H26&lt;=14),"Follow up","")))</f>
        <v/>
      </c>
      <c r="P26" s="21" t="n"/>
      <c r="Q26" s="16" t="n"/>
      <c r="R26" s="17" t="n"/>
    </row>
    <row r="27">
      <c r="A27" s="16" t="n"/>
      <c r="B27" s="16" t="n"/>
      <c r="C27" s="16" t="n"/>
      <c r="D27" s="16" t="n"/>
      <c r="E27" s="17" t="n"/>
      <c r="F27" s="16" t="n"/>
      <c r="G27" s="16" t="n"/>
      <c r="H27" s="18" t="n"/>
      <c r="I27" s="19">
        <f>IF(ISNUMBER(H27),H27+3,"")</f>
        <v/>
      </c>
      <c r="J27" s="19">
        <f>IF(ISNUMBER(H27),H27+7,"")</f>
        <v/>
      </c>
      <c r="K27" s="19">
        <f>IF(ISNUMBER(H27),H27+14,"")</f>
        <v/>
      </c>
      <c r="L27" s="18" t="n"/>
      <c r="M27" s="17" t="n"/>
      <c r="N27" s="18" t="n"/>
      <c r="O27" s="20">
        <f>IF(OR(A27="",F27="Won",F27="Lost",F27="Not now"),"",IF(AND(ISNUMBER(N27),N27&lt;=TODAY()),"Due",IF(AND(F27="Messaged",ISNUMBER(H27),NOT(ISNUMBER(N27)),TODAY()-H27&gt;=3,TODAY()-H27&lt;=14),"Follow up","")))</f>
        <v/>
      </c>
      <c r="P27" s="21" t="n"/>
      <c r="Q27" s="16" t="n"/>
      <c r="R27" s="17" t="n"/>
    </row>
    <row r="28">
      <c r="A28" s="16" t="n"/>
      <c r="B28" s="16" t="n"/>
      <c r="C28" s="16" t="n"/>
      <c r="D28" s="16" t="n"/>
      <c r="E28" s="17" t="n"/>
      <c r="F28" s="16" t="n"/>
      <c r="G28" s="16" t="n"/>
      <c r="H28" s="18" t="n"/>
      <c r="I28" s="19">
        <f>IF(ISNUMBER(H28),H28+3,"")</f>
        <v/>
      </c>
      <c r="J28" s="19">
        <f>IF(ISNUMBER(H28),H28+7,"")</f>
        <v/>
      </c>
      <c r="K28" s="19">
        <f>IF(ISNUMBER(H28),H28+14,"")</f>
        <v/>
      </c>
      <c r="L28" s="18" t="n"/>
      <c r="M28" s="17" t="n"/>
      <c r="N28" s="18" t="n"/>
      <c r="O28" s="20">
        <f>IF(OR(A28="",F28="Won",F28="Lost",F28="Not now"),"",IF(AND(ISNUMBER(N28),N28&lt;=TODAY()),"Due",IF(AND(F28="Messaged",ISNUMBER(H28),NOT(ISNUMBER(N28)),TODAY()-H28&gt;=3,TODAY()-H28&lt;=14),"Follow up","")))</f>
        <v/>
      </c>
      <c r="P28" s="21" t="n"/>
      <c r="Q28" s="16" t="n"/>
      <c r="R28" s="17" t="n"/>
    </row>
    <row r="29">
      <c r="A29" s="16" t="n"/>
      <c r="B29" s="16" t="n"/>
      <c r="C29" s="16" t="n"/>
      <c r="D29" s="16" t="n"/>
      <c r="E29" s="17" t="n"/>
      <c r="F29" s="16" t="n"/>
      <c r="G29" s="16" t="n"/>
      <c r="H29" s="18" t="n"/>
      <c r="I29" s="19">
        <f>IF(ISNUMBER(H29),H29+3,"")</f>
        <v/>
      </c>
      <c r="J29" s="19">
        <f>IF(ISNUMBER(H29),H29+7,"")</f>
        <v/>
      </c>
      <c r="K29" s="19">
        <f>IF(ISNUMBER(H29),H29+14,"")</f>
        <v/>
      </c>
      <c r="L29" s="18" t="n"/>
      <c r="M29" s="17" t="n"/>
      <c r="N29" s="18" t="n"/>
      <c r="O29" s="20">
        <f>IF(OR(A29="",F29="Won",F29="Lost",F29="Not now"),"",IF(AND(ISNUMBER(N29),N29&lt;=TODAY()),"Due",IF(AND(F29="Messaged",ISNUMBER(H29),NOT(ISNUMBER(N29)),TODAY()-H29&gt;=3,TODAY()-H29&lt;=14),"Follow up","")))</f>
        <v/>
      </c>
      <c r="P29" s="21" t="n"/>
      <c r="Q29" s="16" t="n"/>
      <c r="R29" s="17" t="n"/>
    </row>
    <row r="30">
      <c r="A30" s="16" t="n"/>
      <c r="B30" s="16" t="n"/>
      <c r="C30" s="16" t="n"/>
      <c r="D30" s="16" t="n"/>
      <c r="E30" s="17" t="n"/>
      <c r="F30" s="16" t="n"/>
      <c r="G30" s="16" t="n"/>
      <c r="H30" s="18" t="n"/>
      <c r="I30" s="19">
        <f>IF(ISNUMBER(H30),H30+3,"")</f>
        <v/>
      </c>
      <c r="J30" s="19">
        <f>IF(ISNUMBER(H30),H30+7,"")</f>
        <v/>
      </c>
      <c r="K30" s="19">
        <f>IF(ISNUMBER(H30),H30+14,"")</f>
        <v/>
      </c>
      <c r="L30" s="18" t="n"/>
      <c r="M30" s="17" t="n"/>
      <c r="N30" s="18" t="n"/>
      <c r="O30" s="20">
        <f>IF(OR(A30="",F30="Won",F30="Lost",F30="Not now"),"",IF(AND(ISNUMBER(N30),N30&lt;=TODAY()),"Due",IF(AND(F30="Messaged",ISNUMBER(H30),NOT(ISNUMBER(N30)),TODAY()-H30&gt;=3,TODAY()-H30&lt;=14),"Follow up","")))</f>
        <v/>
      </c>
      <c r="P30" s="21" t="n"/>
      <c r="Q30" s="16" t="n"/>
      <c r="R30" s="17" t="n"/>
    </row>
    <row r="31">
      <c r="A31" s="16" t="n"/>
      <c r="B31" s="16" t="n"/>
      <c r="C31" s="16" t="n"/>
      <c r="D31" s="16" t="n"/>
      <c r="E31" s="17" t="n"/>
      <c r="F31" s="16" t="n"/>
      <c r="G31" s="16" t="n"/>
      <c r="H31" s="18" t="n"/>
      <c r="I31" s="19">
        <f>IF(ISNUMBER(H31),H31+3,"")</f>
        <v/>
      </c>
      <c r="J31" s="19">
        <f>IF(ISNUMBER(H31),H31+7,"")</f>
        <v/>
      </c>
      <c r="K31" s="19">
        <f>IF(ISNUMBER(H31),H31+14,"")</f>
        <v/>
      </c>
      <c r="L31" s="18" t="n"/>
      <c r="M31" s="17" t="n"/>
      <c r="N31" s="18" t="n"/>
      <c r="O31" s="20">
        <f>IF(OR(A31="",F31="Won",F31="Lost",F31="Not now"),"",IF(AND(ISNUMBER(N31),N31&lt;=TODAY()),"Due",IF(AND(F31="Messaged",ISNUMBER(H31),NOT(ISNUMBER(N31)),TODAY()-H31&gt;=3,TODAY()-H31&lt;=14),"Follow up","")))</f>
        <v/>
      </c>
      <c r="P31" s="21" t="n"/>
      <c r="Q31" s="16" t="n"/>
      <c r="R31" s="17" t="n"/>
    </row>
    <row r="32">
      <c r="A32" s="16" t="n"/>
      <c r="B32" s="16" t="n"/>
      <c r="C32" s="16" t="n"/>
      <c r="D32" s="16" t="n"/>
      <c r="E32" s="17" t="n"/>
      <c r="F32" s="16" t="n"/>
      <c r="G32" s="16" t="n"/>
      <c r="H32" s="18" t="n"/>
      <c r="I32" s="19">
        <f>IF(ISNUMBER(H32),H32+3,"")</f>
        <v/>
      </c>
      <c r="J32" s="19">
        <f>IF(ISNUMBER(H32),H32+7,"")</f>
        <v/>
      </c>
      <c r="K32" s="19">
        <f>IF(ISNUMBER(H32),H32+14,"")</f>
        <v/>
      </c>
      <c r="L32" s="18" t="n"/>
      <c r="M32" s="17" t="n"/>
      <c r="N32" s="18" t="n"/>
      <c r="O32" s="20">
        <f>IF(OR(A32="",F32="Won",F32="Lost",F32="Not now"),"",IF(AND(ISNUMBER(N32),N32&lt;=TODAY()),"Due",IF(AND(F32="Messaged",ISNUMBER(H32),NOT(ISNUMBER(N32)),TODAY()-H32&gt;=3,TODAY()-H32&lt;=14),"Follow up","")))</f>
        <v/>
      </c>
      <c r="P32" s="21" t="n"/>
      <c r="Q32" s="16" t="n"/>
      <c r="R32" s="17" t="n"/>
    </row>
    <row r="33">
      <c r="A33" s="16" t="n"/>
      <c r="B33" s="16" t="n"/>
      <c r="C33" s="16" t="n"/>
      <c r="D33" s="16" t="n"/>
      <c r="E33" s="17" t="n"/>
      <c r="F33" s="16" t="n"/>
      <c r="G33" s="16" t="n"/>
      <c r="H33" s="18" t="n"/>
      <c r="I33" s="19">
        <f>IF(ISNUMBER(H33),H33+3,"")</f>
        <v/>
      </c>
      <c r="J33" s="19">
        <f>IF(ISNUMBER(H33),H33+7,"")</f>
        <v/>
      </c>
      <c r="K33" s="19">
        <f>IF(ISNUMBER(H33),H33+14,"")</f>
        <v/>
      </c>
      <c r="L33" s="18" t="n"/>
      <c r="M33" s="17" t="n"/>
      <c r="N33" s="18" t="n"/>
      <c r="O33" s="20">
        <f>IF(OR(A33="",F33="Won",F33="Lost",F33="Not now"),"",IF(AND(ISNUMBER(N33),N33&lt;=TODAY()),"Due",IF(AND(F33="Messaged",ISNUMBER(H33),NOT(ISNUMBER(N33)),TODAY()-H33&gt;=3,TODAY()-H33&lt;=14),"Follow up","")))</f>
        <v/>
      </c>
      <c r="P33" s="21" t="n"/>
      <c r="Q33" s="16" t="n"/>
      <c r="R33" s="17" t="n"/>
    </row>
    <row r="34">
      <c r="A34" s="16" t="n"/>
      <c r="B34" s="16" t="n"/>
      <c r="C34" s="16" t="n"/>
      <c r="D34" s="16" t="n"/>
      <c r="E34" s="17" t="n"/>
      <c r="F34" s="16" t="n"/>
      <c r="G34" s="16" t="n"/>
      <c r="H34" s="18" t="n"/>
      <c r="I34" s="19">
        <f>IF(ISNUMBER(H34),H34+3,"")</f>
        <v/>
      </c>
      <c r="J34" s="19">
        <f>IF(ISNUMBER(H34),H34+7,"")</f>
        <v/>
      </c>
      <c r="K34" s="19">
        <f>IF(ISNUMBER(H34),H34+14,"")</f>
        <v/>
      </c>
      <c r="L34" s="18" t="n"/>
      <c r="M34" s="17" t="n"/>
      <c r="N34" s="18" t="n"/>
      <c r="O34" s="20">
        <f>IF(OR(A34="",F34="Won",F34="Lost",F34="Not now"),"",IF(AND(ISNUMBER(N34),N34&lt;=TODAY()),"Due",IF(AND(F34="Messaged",ISNUMBER(H34),NOT(ISNUMBER(N34)),TODAY()-H34&gt;=3,TODAY()-H34&lt;=14),"Follow up","")))</f>
        <v/>
      </c>
      <c r="P34" s="21" t="n"/>
      <c r="Q34" s="16" t="n"/>
      <c r="R34" s="17" t="n"/>
    </row>
    <row r="35">
      <c r="A35" s="16" t="n"/>
      <c r="B35" s="16" t="n"/>
      <c r="C35" s="16" t="n"/>
      <c r="D35" s="16" t="n"/>
      <c r="E35" s="17" t="n"/>
      <c r="F35" s="16" t="n"/>
      <c r="G35" s="16" t="n"/>
      <c r="H35" s="18" t="n"/>
      <c r="I35" s="19">
        <f>IF(ISNUMBER(H35),H35+3,"")</f>
        <v/>
      </c>
      <c r="J35" s="19">
        <f>IF(ISNUMBER(H35),H35+7,"")</f>
        <v/>
      </c>
      <c r="K35" s="19">
        <f>IF(ISNUMBER(H35),H35+14,"")</f>
        <v/>
      </c>
      <c r="L35" s="18" t="n"/>
      <c r="M35" s="17" t="n"/>
      <c r="N35" s="18" t="n"/>
      <c r="O35" s="20">
        <f>IF(OR(A35="",F35="Won",F35="Lost",F35="Not now"),"",IF(AND(ISNUMBER(N35),N35&lt;=TODAY()),"Due",IF(AND(F35="Messaged",ISNUMBER(H35),NOT(ISNUMBER(N35)),TODAY()-H35&gt;=3,TODAY()-H35&lt;=14),"Follow up","")))</f>
        <v/>
      </c>
      <c r="P35" s="21" t="n"/>
      <c r="Q35" s="16" t="n"/>
      <c r="R35" s="17" t="n"/>
    </row>
    <row r="36">
      <c r="A36" s="16" t="n"/>
      <c r="B36" s="16" t="n"/>
      <c r="C36" s="16" t="n"/>
      <c r="D36" s="16" t="n"/>
      <c r="E36" s="17" t="n"/>
      <c r="F36" s="16" t="n"/>
      <c r="G36" s="16" t="n"/>
      <c r="H36" s="18" t="n"/>
      <c r="I36" s="19">
        <f>IF(ISNUMBER(H36),H36+3,"")</f>
        <v/>
      </c>
      <c r="J36" s="19">
        <f>IF(ISNUMBER(H36),H36+7,"")</f>
        <v/>
      </c>
      <c r="K36" s="19">
        <f>IF(ISNUMBER(H36),H36+14,"")</f>
        <v/>
      </c>
      <c r="L36" s="18" t="n"/>
      <c r="M36" s="17" t="n"/>
      <c r="N36" s="18" t="n"/>
      <c r="O36" s="20">
        <f>IF(OR(A36="",F36="Won",F36="Lost",F36="Not now"),"",IF(AND(ISNUMBER(N36),N36&lt;=TODAY()),"Due",IF(AND(F36="Messaged",ISNUMBER(H36),NOT(ISNUMBER(N36)),TODAY()-H36&gt;=3,TODAY()-H36&lt;=14),"Follow up","")))</f>
        <v/>
      </c>
      <c r="P36" s="21" t="n"/>
      <c r="Q36" s="16" t="n"/>
      <c r="R36" s="17" t="n"/>
    </row>
    <row r="37">
      <c r="A37" s="16" t="n"/>
      <c r="B37" s="16" t="n"/>
      <c r="C37" s="16" t="n"/>
      <c r="D37" s="16" t="n"/>
      <c r="E37" s="17" t="n"/>
      <c r="F37" s="16" t="n"/>
      <c r="G37" s="16" t="n"/>
      <c r="H37" s="18" t="n"/>
      <c r="I37" s="19">
        <f>IF(ISNUMBER(H37),H37+3,"")</f>
        <v/>
      </c>
      <c r="J37" s="19">
        <f>IF(ISNUMBER(H37),H37+7,"")</f>
        <v/>
      </c>
      <c r="K37" s="19">
        <f>IF(ISNUMBER(H37),H37+14,"")</f>
        <v/>
      </c>
      <c r="L37" s="18" t="n"/>
      <c r="M37" s="17" t="n"/>
      <c r="N37" s="18" t="n"/>
      <c r="O37" s="20">
        <f>IF(OR(A37="",F37="Won",F37="Lost",F37="Not now"),"",IF(AND(ISNUMBER(N37),N37&lt;=TODAY()),"Due",IF(AND(F37="Messaged",ISNUMBER(H37),NOT(ISNUMBER(N37)),TODAY()-H37&gt;=3,TODAY()-H37&lt;=14),"Follow up","")))</f>
        <v/>
      </c>
      <c r="P37" s="21" t="n"/>
      <c r="Q37" s="16" t="n"/>
      <c r="R37" s="17" t="n"/>
    </row>
    <row r="38">
      <c r="A38" s="16" t="n"/>
      <c r="B38" s="16" t="n"/>
      <c r="C38" s="16" t="n"/>
      <c r="D38" s="16" t="n"/>
      <c r="E38" s="17" t="n"/>
      <c r="F38" s="16" t="n"/>
      <c r="G38" s="16" t="n"/>
      <c r="H38" s="18" t="n"/>
      <c r="I38" s="19">
        <f>IF(ISNUMBER(H38),H38+3,"")</f>
        <v/>
      </c>
      <c r="J38" s="19">
        <f>IF(ISNUMBER(H38),H38+7,"")</f>
        <v/>
      </c>
      <c r="K38" s="19">
        <f>IF(ISNUMBER(H38),H38+14,"")</f>
        <v/>
      </c>
      <c r="L38" s="18" t="n"/>
      <c r="M38" s="17" t="n"/>
      <c r="N38" s="18" t="n"/>
      <c r="O38" s="20">
        <f>IF(OR(A38="",F38="Won",F38="Lost",F38="Not now"),"",IF(AND(ISNUMBER(N38),N38&lt;=TODAY()),"Due",IF(AND(F38="Messaged",ISNUMBER(H38),NOT(ISNUMBER(N38)),TODAY()-H38&gt;=3,TODAY()-H38&lt;=14),"Follow up","")))</f>
        <v/>
      </c>
      <c r="P38" s="21" t="n"/>
      <c r="Q38" s="16" t="n"/>
      <c r="R38" s="17" t="n"/>
    </row>
    <row r="39">
      <c r="A39" s="16" t="n"/>
      <c r="B39" s="16" t="n"/>
      <c r="C39" s="16" t="n"/>
      <c r="D39" s="16" t="n"/>
      <c r="E39" s="17" t="n"/>
      <c r="F39" s="16" t="n"/>
      <c r="G39" s="16" t="n"/>
      <c r="H39" s="18" t="n"/>
      <c r="I39" s="19">
        <f>IF(ISNUMBER(H39),H39+3,"")</f>
        <v/>
      </c>
      <c r="J39" s="19">
        <f>IF(ISNUMBER(H39),H39+7,"")</f>
        <v/>
      </c>
      <c r="K39" s="19">
        <f>IF(ISNUMBER(H39),H39+14,"")</f>
        <v/>
      </c>
      <c r="L39" s="18" t="n"/>
      <c r="M39" s="17" t="n"/>
      <c r="N39" s="18" t="n"/>
      <c r="O39" s="20">
        <f>IF(OR(A39="",F39="Won",F39="Lost",F39="Not now"),"",IF(AND(ISNUMBER(N39),N39&lt;=TODAY()),"Due",IF(AND(F39="Messaged",ISNUMBER(H39),NOT(ISNUMBER(N39)),TODAY()-H39&gt;=3,TODAY()-H39&lt;=14),"Follow up","")))</f>
        <v/>
      </c>
      <c r="P39" s="21" t="n"/>
      <c r="Q39" s="16" t="n"/>
      <c r="R39" s="17" t="n"/>
    </row>
    <row r="40">
      <c r="A40" s="16" t="n"/>
      <c r="B40" s="16" t="n"/>
      <c r="C40" s="16" t="n"/>
      <c r="D40" s="16" t="n"/>
      <c r="E40" s="17" t="n"/>
      <c r="F40" s="16" t="n"/>
      <c r="G40" s="16" t="n"/>
      <c r="H40" s="18" t="n"/>
      <c r="I40" s="19">
        <f>IF(ISNUMBER(H40),H40+3,"")</f>
        <v/>
      </c>
      <c r="J40" s="19">
        <f>IF(ISNUMBER(H40),H40+7,"")</f>
        <v/>
      </c>
      <c r="K40" s="19">
        <f>IF(ISNUMBER(H40),H40+14,"")</f>
        <v/>
      </c>
      <c r="L40" s="18" t="n"/>
      <c r="M40" s="17" t="n"/>
      <c r="N40" s="18" t="n"/>
      <c r="O40" s="20">
        <f>IF(OR(A40="",F40="Won",F40="Lost",F40="Not now"),"",IF(AND(ISNUMBER(N40),N40&lt;=TODAY()),"Due",IF(AND(F40="Messaged",ISNUMBER(H40),NOT(ISNUMBER(N40)),TODAY()-H40&gt;=3,TODAY()-H40&lt;=14),"Follow up","")))</f>
        <v/>
      </c>
      <c r="P40" s="21" t="n"/>
      <c r="Q40" s="16" t="n"/>
      <c r="R40" s="17" t="n"/>
    </row>
    <row r="41">
      <c r="A41" s="16" t="n"/>
      <c r="B41" s="16" t="n"/>
      <c r="C41" s="16" t="n"/>
      <c r="D41" s="16" t="n"/>
      <c r="E41" s="17" t="n"/>
      <c r="F41" s="16" t="n"/>
      <c r="G41" s="16" t="n"/>
      <c r="H41" s="18" t="n"/>
      <c r="I41" s="19">
        <f>IF(ISNUMBER(H41),H41+3,"")</f>
        <v/>
      </c>
      <c r="J41" s="19">
        <f>IF(ISNUMBER(H41),H41+7,"")</f>
        <v/>
      </c>
      <c r="K41" s="19">
        <f>IF(ISNUMBER(H41),H41+14,"")</f>
        <v/>
      </c>
      <c r="L41" s="18" t="n"/>
      <c r="M41" s="17" t="n"/>
      <c r="N41" s="18" t="n"/>
      <c r="O41" s="20">
        <f>IF(OR(A41="",F41="Won",F41="Lost",F41="Not now"),"",IF(AND(ISNUMBER(N41),N41&lt;=TODAY()),"Due",IF(AND(F41="Messaged",ISNUMBER(H41),NOT(ISNUMBER(N41)),TODAY()-H41&gt;=3,TODAY()-H41&lt;=14),"Follow up","")))</f>
        <v/>
      </c>
      <c r="P41" s="21" t="n"/>
      <c r="Q41" s="16" t="n"/>
      <c r="R41" s="17" t="n"/>
    </row>
    <row r="42">
      <c r="A42" s="16" t="n"/>
      <c r="B42" s="16" t="n"/>
      <c r="C42" s="16" t="n"/>
      <c r="D42" s="16" t="n"/>
      <c r="E42" s="17" t="n"/>
      <c r="F42" s="16" t="n"/>
      <c r="G42" s="16" t="n"/>
      <c r="H42" s="18" t="n"/>
      <c r="I42" s="19">
        <f>IF(ISNUMBER(H42),H42+3,"")</f>
        <v/>
      </c>
      <c r="J42" s="19">
        <f>IF(ISNUMBER(H42),H42+7,"")</f>
        <v/>
      </c>
      <c r="K42" s="19">
        <f>IF(ISNUMBER(H42),H42+14,"")</f>
        <v/>
      </c>
      <c r="L42" s="18" t="n"/>
      <c r="M42" s="17" t="n"/>
      <c r="N42" s="18" t="n"/>
      <c r="O42" s="20">
        <f>IF(OR(A42="",F42="Won",F42="Lost",F42="Not now"),"",IF(AND(ISNUMBER(N42),N42&lt;=TODAY()),"Due",IF(AND(F42="Messaged",ISNUMBER(H42),NOT(ISNUMBER(N42)),TODAY()-H42&gt;=3,TODAY()-H42&lt;=14),"Follow up","")))</f>
        <v/>
      </c>
      <c r="P42" s="21" t="n"/>
      <c r="Q42" s="16" t="n"/>
      <c r="R42" s="17" t="n"/>
    </row>
    <row r="43">
      <c r="A43" s="16" t="n"/>
      <c r="B43" s="16" t="n"/>
      <c r="C43" s="16" t="n"/>
      <c r="D43" s="16" t="n"/>
      <c r="E43" s="17" t="n"/>
      <c r="F43" s="16" t="n"/>
      <c r="G43" s="16" t="n"/>
      <c r="H43" s="18" t="n"/>
      <c r="I43" s="19">
        <f>IF(ISNUMBER(H43),H43+3,"")</f>
        <v/>
      </c>
      <c r="J43" s="19">
        <f>IF(ISNUMBER(H43),H43+7,"")</f>
        <v/>
      </c>
      <c r="K43" s="19">
        <f>IF(ISNUMBER(H43),H43+14,"")</f>
        <v/>
      </c>
      <c r="L43" s="18" t="n"/>
      <c r="M43" s="17" t="n"/>
      <c r="N43" s="18" t="n"/>
      <c r="O43" s="20">
        <f>IF(OR(A43="",F43="Won",F43="Lost",F43="Not now"),"",IF(AND(ISNUMBER(N43),N43&lt;=TODAY()),"Due",IF(AND(F43="Messaged",ISNUMBER(H43),NOT(ISNUMBER(N43)),TODAY()-H43&gt;=3,TODAY()-H43&lt;=14),"Follow up","")))</f>
        <v/>
      </c>
      <c r="P43" s="21" t="n"/>
      <c r="Q43" s="16" t="n"/>
      <c r="R43" s="17" t="n"/>
    </row>
    <row r="44">
      <c r="A44" s="16" t="n"/>
      <c r="B44" s="16" t="n"/>
      <c r="C44" s="16" t="n"/>
      <c r="D44" s="16" t="n"/>
      <c r="E44" s="17" t="n"/>
      <c r="F44" s="16" t="n"/>
      <c r="G44" s="16" t="n"/>
      <c r="H44" s="18" t="n"/>
      <c r="I44" s="19">
        <f>IF(ISNUMBER(H44),H44+3,"")</f>
        <v/>
      </c>
      <c r="J44" s="19">
        <f>IF(ISNUMBER(H44),H44+7,"")</f>
        <v/>
      </c>
      <c r="K44" s="19">
        <f>IF(ISNUMBER(H44),H44+14,"")</f>
        <v/>
      </c>
      <c r="L44" s="18" t="n"/>
      <c r="M44" s="17" t="n"/>
      <c r="N44" s="18" t="n"/>
      <c r="O44" s="20">
        <f>IF(OR(A44="",F44="Won",F44="Lost",F44="Not now"),"",IF(AND(ISNUMBER(N44),N44&lt;=TODAY()),"Due",IF(AND(F44="Messaged",ISNUMBER(H44),NOT(ISNUMBER(N44)),TODAY()-H44&gt;=3,TODAY()-H44&lt;=14),"Follow up","")))</f>
        <v/>
      </c>
      <c r="P44" s="21" t="n"/>
      <c r="Q44" s="16" t="n"/>
      <c r="R44" s="17" t="n"/>
    </row>
    <row r="45">
      <c r="A45" s="16" t="n"/>
      <c r="B45" s="16" t="n"/>
      <c r="C45" s="16" t="n"/>
      <c r="D45" s="16" t="n"/>
      <c r="E45" s="17" t="n"/>
      <c r="F45" s="16" t="n"/>
      <c r="G45" s="16" t="n"/>
      <c r="H45" s="18" t="n"/>
      <c r="I45" s="19">
        <f>IF(ISNUMBER(H45),H45+3,"")</f>
        <v/>
      </c>
      <c r="J45" s="19">
        <f>IF(ISNUMBER(H45),H45+7,"")</f>
        <v/>
      </c>
      <c r="K45" s="19">
        <f>IF(ISNUMBER(H45),H45+14,"")</f>
        <v/>
      </c>
      <c r="L45" s="18" t="n"/>
      <c r="M45" s="17" t="n"/>
      <c r="N45" s="18" t="n"/>
      <c r="O45" s="20">
        <f>IF(OR(A45="",F45="Won",F45="Lost",F45="Not now"),"",IF(AND(ISNUMBER(N45),N45&lt;=TODAY()),"Due",IF(AND(F45="Messaged",ISNUMBER(H45),NOT(ISNUMBER(N45)),TODAY()-H45&gt;=3,TODAY()-H45&lt;=14),"Follow up","")))</f>
        <v/>
      </c>
      <c r="P45" s="21" t="n"/>
      <c r="Q45" s="16" t="n"/>
      <c r="R45" s="17" t="n"/>
    </row>
    <row r="46">
      <c r="A46" s="16" t="n"/>
      <c r="B46" s="16" t="n"/>
      <c r="C46" s="16" t="n"/>
      <c r="D46" s="16" t="n"/>
      <c r="E46" s="17" t="n"/>
      <c r="F46" s="16" t="n"/>
      <c r="G46" s="16" t="n"/>
      <c r="H46" s="18" t="n"/>
      <c r="I46" s="19">
        <f>IF(ISNUMBER(H46),H46+3,"")</f>
        <v/>
      </c>
      <c r="J46" s="19">
        <f>IF(ISNUMBER(H46),H46+7,"")</f>
        <v/>
      </c>
      <c r="K46" s="19">
        <f>IF(ISNUMBER(H46),H46+14,"")</f>
        <v/>
      </c>
      <c r="L46" s="18" t="n"/>
      <c r="M46" s="17" t="n"/>
      <c r="N46" s="18" t="n"/>
      <c r="O46" s="20">
        <f>IF(OR(A46="",F46="Won",F46="Lost",F46="Not now"),"",IF(AND(ISNUMBER(N46),N46&lt;=TODAY()),"Due",IF(AND(F46="Messaged",ISNUMBER(H46),NOT(ISNUMBER(N46)),TODAY()-H46&gt;=3,TODAY()-H46&lt;=14),"Follow up","")))</f>
        <v/>
      </c>
      <c r="P46" s="21" t="n"/>
      <c r="Q46" s="16" t="n"/>
      <c r="R46" s="17" t="n"/>
    </row>
    <row r="47">
      <c r="A47" s="16" t="n"/>
      <c r="B47" s="16" t="n"/>
      <c r="C47" s="16" t="n"/>
      <c r="D47" s="16" t="n"/>
      <c r="E47" s="17" t="n"/>
      <c r="F47" s="16" t="n"/>
      <c r="G47" s="16" t="n"/>
      <c r="H47" s="18" t="n"/>
      <c r="I47" s="19">
        <f>IF(ISNUMBER(H47),H47+3,"")</f>
        <v/>
      </c>
      <c r="J47" s="19">
        <f>IF(ISNUMBER(H47),H47+7,"")</f>
        <v/>
      </c>
      <c r="K47" s="19">
        <f>IF(ISNUMBER(H47),H47+14,"")</f>
        <v/>
      </c>
      <c r="L47" s="18" t="n"/>
      <c r="M47" s="17" t="n"/>
      <c r="N47" s="18" t="n"/>
      <c r="O47" s="20">
        <f>IF(OR(A47="",F47="Won",F47="Lost",F47="Not now"),"",IF(AND(ISNUMBER(N47),N47&lt;=TODAY()),"Due",IF(AND(F47="Messaged",ISNUMBER(H47),NOT(ISNUMBER(N47)),TODAY()-H47&gt;=3,TODAY()-H47&lt;=14),"Follow up","")))</f>
        <v/>
      </c>
      <c r="P47" s="21" t="n"/>
      <c r="Q47" s="16" t="n"/>
      <c r="R47" s="17" t="n"/>
    </row>
    <row r="48">
      <c r="A48" s="16" t="n"/>
      <c r="B48" s="16" t="n"/>
      <c r="C48" s="16" t="n"/>
      <c r="D48" s="16" t="n"/>
      <c r="E48" s="17" t="n"/>
      <c r="F48" s="16" t="n"/>
      <c r="G48" s="16" t="n"/>
      <c r="H48" s="18" t="n"/>
      <c r="I48" s="19">
        <f>IF(ISNUMBER(H48),H48+3,"")</f>
        <v/>
      </c>
      <c r="J48" s="19">
        <f>IF(ISNUMBER(H48),H48+7,"")</f>
        <v/>
      </c>
      <c r="K48" s="19">
        <f>IF(ISNUMBER(H48),H48+14,"")</f>
        <v/>
      </c>
      <c r="L48" s="18" t="n"/>
      <c r="M48" s="17" t="n"/>
      <c r="N48" s="18" t="n"/>
      <c r="O48" s="20">
        <f>IF(OR(A48="",F48="Won",F48="Lost",F48="Not now"),"",IF(AND(ISNUMBER(N48),N48&lt;=TODAY()),"Due",IF(AND(F48="Messaged",ISNUMBER(H48),NOT(ISNUMBER(N48)),TODAY()-H48&gt;=3,TODAY()-H48&lt;=14),"Follow up","")))</f>
        <v/>
      </c>
      <c r="P48" s="21" t="n"/>
      <c r="Q48" s="16" t="n"/>
      <c r="R48" s="17" t="n"/>
    </row>
    <row r="49">
      <c r="A49" s="16" t="n"/>
      <c r="B49" s="16" t="n"/>
      <c r="C49" s="16" t="n"/>
      <c r="D49" s="16" t="n"/>
      <c r="E49" s="17" t="n"/>
      <c r="F49" s="16" t="n"/>
      <c r="G49" s="16" t="n"/>
      <c r="H49" s="18" t="n"/>
      <c r="I49" s="19">
        <f>IF(ISNUMBER(H49),H49+3,"")</f>
        <v/>
      </c>
      <c r="J49" s="19">
        <f>IF(ISNUMBER(H49),H49+7,"")</f>
        <v/>
      </c>
      <c r="K49" s="19">
        <f>IF(ISNUMBER(H49),H49+14,"")</f>
        <v/>
      </c>
      <c r="L49" s="18" t="n"/>
      <c r="M49" s="17" t="n"/>
      <c r="N49" s="18" t="n"/>
      <c r="O49" s="20">
        <f>IF(OR(A49="",F49="Won",F49="Lost",F49="Not now"),"",IF(AND(ISNUMBER(N49),N49&lt;=TODAY()),"Due",IF(AND(F49="Messaged",ISNUMBER(H49),NOT(ISNUMBER(N49)),TODAY()-H49&gt;=3,TODAY()-H49&lt;=14),"Follow up","")))</f>
        <v/>
      </c>
      <c r="P49" s="21" t="n"/>
      <c r="Q49" s="16" t="n"/>
      <c r="R49" s="17" t="n"/>
    </row>
    <row r="50">
      <c r="A50" s="16" t="n"/>
      <c r="B50" s="16" t="n"/>
      <c r="C50" s="16" t="n"/>
      <c r="D50" s="16" t="n"/>
      <c r="E50" s="17" t="n"/>
      <c r="F50" s="16" t="n"/>
      <c r="G50" s="16" t="n"/>
      <c r="H50" s="18" t="n"/>
      <c r="I50" s="19">
        <f>IF(ISNUMBER(H50),H50+3,"")</f>
        <v/>
      </c>
      <c r="J50" s="19">
        <f>IF(ISNUMBER(H50),H50+7,"")</f>
        <v/>
      </c>
      <c r="K50" s="19">
        <f>IF(ISNUMBER(H50),H50+14,"")</f>
        <v/>
      </c>
      <c r="L50" s="18" t="n"/>
      <c r="M50" s="17" t="n"/>
      <c r="N50" s="18" t="n"/>
      <c r="O50" s="20">
        <f>IF(OR(A50="",F50="Won",F50="Lost",F50="Not now"),"",IF(AND(ISNUMBER(N50),N50&lt;=TODAY()),"Due",IF(AND(F50="Messaged",ISNUMBER(H50),NOT(ISNUMBER(N50)),TODAY()-H50&gt;=3,TODAY()-H50&lt;=14),"Follow up","")))</f>
        <v/>
      </c>
      <c r="P50" s="21" t="n"/>
      <c r="Q50" s="16" t="n"/>
      <c r="R50" s="17" t="n"/>
    </row>
    <row r="51">
      <c r="A51" s="16" t="n"/>
      <c r="B51" s="16" t="n"/>
      <c r="C51" s="16" t="n"/>
      <c r="D51" s="16" t="n"/>
      <c r="E51" s="17" t="n"/>
      <c r="F51" s="16" t="n"/>
      <c r="G51" s="16" t="n"/>
      <c r="H51" s="18" t="n"/>
      <c r="I51" s="19">
        <f>IF(ISNUMBER(H51),H51+3,"")</f>
        <v/>
      </c>
      <c r="J51" s="19">
        <f>IF(ISNUMBER(H51),H51+7,"")</f>
        <v/>
      </c>
      <c r="K51" s="19">
        <f>IF(ISNUMBER(H51),H51+14,"")</f>
        <v/>
      </c>
      <c r="L51" s="18" t="n"/>
      <c r="M51" s="17" t="n"/>
      <c r="N51" s="18" t="n"/>
      <c r="O51" s="20">
        <f>IF(OR(A51="",F51="Won",F51="Lost",F51="Not now"),"",IF(AND(ISNUMBER(N51),N51&lt;=TODAY()),"Due",IF(AND(F51="Messaged",ISNUMBER(H51),NOT(ISNUMBER(N51)),TODAY()-H51&gt;=3,TODAY()-H51&lt;=14),"Follow up","")))</f>
        <v/>
      </c>
      <c r="P51" s="21" t="n"/>
      <c r="Q51" s="16" t="n"/>
      <c r="R51" s="17" t="n"/>
    </row>
    <row r="52">
      <c r="A52" s="16" t="n"/>
      <c r="B52" s="16" t="n"/>
      <c r="C52" s="16" t="n"/>
      <c r="D52" s="16" t="n"/>
      <c r="E52" s="17" t="n"/>
      <c r="F52" s="16" t="n"/>
      <c r="G52" s="16" t="n"/>
      <c r="H52" s="18" t="n"/>
      <c r="I52" s="19">
        <f>IF(ISNUMBER(H52),H52+3,"")</f>
        <v/>
      </c>
      <c r="J52" s="19">
        <f>IF(ISNUMBER(H52),H52+7,"")</f>
        <v/>
      </c>
      <c r="K52" s="19">
        <f>IF(ISNUMBER(H52),H52+14,"")</f>
        <v/>
      </c>
      <c r="L52" s="18" t="n"/>
      <c r="M52" s="17" t="n"/>
      <c r="N52" s="18" t="n"/>
      <c r="O52" s="20">
        <f>IF(OR(A52="",F52="Won",F52="Lost",F52="Not now"),"",IF(AND(ISNUMBER(N52),N52&lt;=TODAY()),"Due",IF(AND(F52="Messaged",ISNUMBER(H52),NOT(ISNUMBER(N52)),TODAY()-H52&gt;=3,TODAY()-H52&lt;=14),"Follow up","")))</f>
        <v/>
      </c>
      <c r="P52" s="21" t="n"/>
      <c r="Q52" s="16" t="n"/>
      <c r="R52" s="17" t="n"/>
    </row>
    <row r="53">
      <c r="A53" s="16" t="n"/>
      <c r="B53" s="16" t="n"/>
      <c r="C53" s="16" t="n"/>
      <c r="D53" s="16" t="n"/>
      <c r="E53" s="17" t="n"/>
      <c r="F53" s="16" t="n"/>
      <c r="G53" s="16" t="n"/>
      <c r="H53" s="18" t="n"/>
      <c r="I53" s="19">
        <f>IF(ISNUMBER(H53),H53+3,"")</f>
        <v/>
      </c>
      <c r="J53" s="19">
        <f>IF(ISNUMBER(H53),H53+7,"")</f>
        <v/>
      </c>
      <c r="K53" s="19">
        <f>IF(ISNUMBER(H53),H53+14,"")</f>
        <v/>
      </c>
      <c r="L53" s="18" t="n"/>
      <c r="M53" s="17" t="n"/>
      <c r="N53" s="18" t="n"/>
      <c r="O53" s="20">
        <f>IF(OR(A53="",F53="Won",F53="Lost",F53="Not now"),"",IF(AND(ISNUMBER(N53),N53&lt;=TODAY()),"Due",IF(AND(F53="Messaged",ISNUMBER(H53),NOT(ISNUMBER(N53)),TODAY()-H53&gt;=3,TODAY()-H53&lt;=14),"Follow up","")))</f>
        <v/>
      </c>
      <c r="P53" s="21" t="n"/>
      <c r="Q53" s="16" t="n"/>
      <c r="R53" s="17" t="n"/>
    </row>
    <row r="54">
      <c r="A54" s="16" t="n"/>
      <c r="B54" s="16" t="n"/>
      <c r="C54" s="16" t="n"/>
      <c r="D54" s="16" t="n"/>
      <c r="E54" s="17" t="n"/>
      <c r="F54" s="16" t="n"/>
      <c r="G54" s="16" t="n"/>
      <c r="H54" s="18" t="n"/>
      <c r="I54" s="19">
        <f>IF(ISNUMBER(H54),H54+3,"")</f>
        <v/>
      </c>
      <c r="J54" s="19">
        <f>IF(ISNUMBER(H54),H54+7,"")</f>
        <v/>
      </c>
      <c r="K54" s="19">
        <f>IF(ISNUMBER(H54),H54+14,"")</f>
        <v/>
      </c>
      <c r="L54" s="18" t="n"/>
      <c r="M54" s="17" t="n"/>
      <c r="N54" s="18" t="n"/>
      <c r="O54" s="20">
        <f>IF(OR(A54="",F54="Won",F54="Lost",F54="Not now"),"",IF(AND(ISNUMBER(N54),N54&lt;=TODAY()),"Due",IF(AND(F54="Messaged",ISNUMBER(H54),NOT(ISNUMBER(N54)),TODAY()-H54&gt;=3,TODAY()-H54&lt;=14),"Follow up","")))</f>
        <v/>
      </c>
      <c r="P54" s="21" t="n"/>
      <c r="Q54" s="16" t="n"/>
      <c r="R54" s="17" t="n"/>
    </row>
    <row r="55">
      <c r="A55" s="16" t="n"/>
      <c r="B55" s="16" t="n"/>
      <c r="C55" s="16" t="n"/>
      <c r="D55" s="16" t="n"/>
      <c r="E55" s="17" t="n"/>
      <c r="F55" s="16" t="n"/>
      <c r="G55" s="16" t="n"/>
      <c r="H55" s="18" t="n"/>
      <c r="I55" s="19">
        <f>IF(ISNUMBER(H55),H55+3,"")</f>
        <v/>
      </c>
      <c r="J55" s="19">
        <f>IF(ISNUMBER(H55),H55+7,"")</f>
        <v/>
      </c>
      <c r="K55" s="19">
        <f>IF(ISNUMBER(H55),H55+14,"")</f>
        <v/>
      </c>
      <c r="L55" s="18" t="n"/>
      <c r="M55" s="17" t="n"/>
      <c r="N55" s="18" t="n"/>
      <c r="O55" s="20">
        <f>IF(OR(A55="",F55="Won",F55="Lost",F55="Not now"),"",IF(AND(ISNUMBER(N55),N55&lt;=TODAY()),"Due",IF(AND(F55="Messaged",ISNUMBER(H55),NOT(ISNUMBER(N55)),TODAY()-H55&gt;=3,TODAY()-H55&lt;=14),"Follow up","")))</f>
        <v/>
      </c>
      <c r="P55" s="21" t="n"/>
      <c r="Q55" s="16" t="n"/>
      <c r="R55" s="17" t="n"/>
    </row>
    <row r="56">
      <c r="A56" s="16" t="n"/>
      <c r="B56" s="16" t="n"/>
      <c r="C56" s="16" t="n"/>
      <c r="D56" s="16" t="n"/>
      <c r="E56" s="17" t="n"/>
      <c r="F56" s="16" t="n"/>
      <c r="G56" s="16" t="n"/>
      <c r="H56" s="18" t="n"/>
      <c r="I56" s="19">
        <f>IF(ISNUMBER(H56),H56+3,"")</f>
        <v/>
      </c>
      <c r="J56" s="19">
        <f>IF(ISNUMBER(H56),H56+7,"")</f>
        <v/>
      </c>
      <c r="K56" s="19">
        <f>IF(ISNUMBER(H56),H56+14,"")</f>
        <v/>
      </c>
      <c r="L56" s="18" t="n"/>
      <c r="M56" s="17" t="n"/>
      <c r="N56" s="18" t="n"/>
      <c r="O56" s="20">
        <f>IF(OR(A56="",F56="Won",F56="Lost",F56="Not now"),"",IF(AND(ISNUMBER(N56),N56&lt;=TODAY()),"Due",IF(AND(F56="Messaged",ISNUMBER(H56),NOT(ISNUMBER(N56)),TODAY()-H56&gt;=3,TODAY()-H56&lt;=14),"Follow up","")))</f>
        <v/>
      </c>
      <c r="P56" s="21" t="n"/>
      <c r="Q56" s="16" t="n"/>
      <c r="R56" s="17" t="n"/>
    </row>
    <row r="57">
      <c r="A57" s="16" t="n"/>
      <c r="B57" s="16" t="n"/>
      <c r="C57" s="16" t="n"/>
      <c r="D57" s="16" t="n"/>
      <c r="E57" s="17" t="n"/>
      <c r="F57" s="16" t="n"/>
      <c r="G57" s="16" t="n"/>
      <c r="H57" s="18" t="n"/>
      <c r="I57" s="19">
        <f>IF(ISNUMBER(H57),H57+3,"")</f>
        <v/>
      </c>
      <c r="J57" s="19">
        <f>IF(ISNUMBER(H57),H57+7,"")</f>
        <v/>
      </c>
      <c r="K57" s="19">
        <f>IF(ISNUMBER(H57),H57+14,"")</f>
        <v/>
      </c>
      <c r="L57" s="18" t="n"/>
      <c r="M57" s="17" t="n"/>
      <c r="N57" s="18" t="n"/>
      <c r="O57" s="20">
        <f>IF(OR(A57="",F57="Won",F57="Lost",F57="Not now"),"",IF(AND(ISNUMBER(N57),N57&lt;=TODAY()),"Due",IF(AND(F57="Messaged",ISNUMBER(H57),NOT(ISNUMBER(N57)),TODAY()-H57&gt;=3,TODAY()-H57&lt;=14),"Follow up","")))</f>
        <v/>
      </c>
      <c r="P57" s="21" t="n"/>
      <c r="Q57" s="16" t="n"/>
      <c r="R57" s="17" t="n"/>
    </row>
    <row r="58">
      <c r="A58" s="16" t="n"/>
      <c r="B58" s="16" t="n"/>
      <c r="C58" s="16" t="n"/>
      <c r="D58" s="16" t="n"/>
      <c r="E58" s="17" t="n"/>
      <c r="F58" s="16" t="n"/>
      <c r="G58" s="16" t="n"/>
      <c r="H58" s="18" t="n"/>
      <c r="I58" s="19">
        <f>IF(ISNUMBER(H58),H58+3,"")</f>
        <v/>
      </c>
      <c r="J58" s="19">
        <f>IF(ISNUMBER(H58),H58+7,"")</f>
        <v/>
      </c>
      <c r="K58" s="19">
        <f>IF(ISNUMBER(H58),H58+14,"")</f>
        <v/>
      </c>
      <c r="L58" s="18" t="n"/>
      <c r="M58" s="17" t="n"/>
      <c r="N58" s="18" t="n"/>
      <c r="O58" s="20">
        <f>IF(OR(A58="",F58="Won",F58="Lost",F58="Not now"),"",IF(AND(ISNUMBER(N58),N58&lt;=TODAY()),"Due",IF(AND(F58="Messaged",ISNUMBER(H58),NOT(ISNUMBER(N58)),TODAY()-H58&gt;=3,TODAY()-H58&lt;=14),"Follow up","")))</f>
        <v/>
      </c>
      <c r="P58" s="21" t="n"/>
      <c r="Q58" s="16" t="n"/>
      <c r="R58" s="17" t="n"/>
    </row>
    <row r="59">
      <c r="A59" s="16" t="n"/>
      <c r="B59" s="16" t="n"/>
      <c r="C59" s="16" t="n"/>
      <c r="D59" s="16" t="n"/>
      <c r="E59" s="17" t="n"/>
      <c r="F59" s="16" t="n"/>
      <c r="G59" s="16" t="n"/>
      <c r="H59" s="18" t="n"/>
      <c r="I59" s="19">
        <f>IF(ISNUMBER(H59),H59+3,"")</f>
        <v/>
      </c>
      <c r="J59" s="19">
        <f>IF(ISNUMBER(H59),H59+7,"")</f>
        <v/>
      </c>
      <c r="K59" s="19">
        <f>IF(ISNUMBER(H59),H59+14,"")</f>
        <v/>
      </c>
      <c r="L59" s="18" t="n"/>
      <c r="M59" s="17" t="n"/>
      <c r="N59" s="18" t="n"/>
      <c r="O59" s="20">
        <f>IF(OR(A59="",F59="Won",F59="Lost",F59="Not now"),"",IF(AND(ISNUMBER(N59),N59&lt;=TODAY()),"Due",IF(AND(F59="Messaged",ISNUMBER(H59),NOT(ISNUMBER(N59)),TODAY()-H59&gt;=3,TODAY()-H59&lt;=14),"Follow up","")))</f>
        <v/>
      </c>
      <c r="P59" s="21" t="n"/>
      <c r="Q59" s="16" t="n"/>
      <c r="R59" s="17" t="n"/>
    </row>
    <row r="60">
      <c r="A60" s="16" t="n"/>
      <c r="B60" s="16" t="n"/>
      <c r="C60" s="16" t="n"/>
      <c r="D60" s="16" t="n"/>
      <c r="E60" s="17" t="n"/>
      <c r="F60" s="16" t="n"/>
      <c r="G60" s="16" t="n"/>
      <c r="H60" s="18" t="n"/>
      <c r="I60" s="19">
        <f>IF(ISNUMBER(H60),H60+3,"")</f>
        <v/>
      </c>
      <c r="J60" s="19">
        <f>IF(ISNUMBER(H60),H60+7,"")</f>
        <v/>
      </c>
      <c r="K60" s="19">
        <f>IF(ISNUMBER(H60),H60+14,"")</f>
        <v/>
      </c>
      <c r="L60" s="18" t="n"/>
      <c r="M60" s="17" t="n"/>
      <c r="N60" s="18" t="n"/>
      <c r="O60" s="20">
        <f>IF(OR(A60="",F60="Won",F60="Lost",F60="Not now"),"",IF(AND(ISNUMBER(N60),N60&lt;=TODAY()),"Due",IF(AND(F60="Messaged",ISNUMBER(H60),NOT(ISNUMBER(N60)),TODAY()-H60&gt;=3,TODAY()-H60&lt;=14),"Follow up","")))</f>
        <v/>
      </c>
      <c r="P60" s="21" t="n"/>
      <c r="Q60" s="16" t="n"/>
      <c r="R60" s="17" t="n"/>
    </row>
    <row r="61">
      <c r="A61" s="16" t="n"/>
      <c r="B61" s="16" t="n"/>
      <c r="C61" s="16" t="n"/>
      <c r="D61" s="16" t="n"/>
      <c r="E61" s="17" t="n"/>
      <c r="F61" s="16" t="n"/>
      <c r="G61" s="16" t="n"/>
      <c r="H61" s="18" t="n"/>
      <c r="I61" s="19">
        <f>IF(ISNUMBER(H61),H61+3,"")</f>
        <v/>
      </c>
      <c r="J61" s="19">
        <f>IF(ISNUMBER(H61),H61+7,"")</f>
        <v/>
      </c>
      <c r="K61" s="19">
        <f>IF(ISNUMBER(H61),H61+14,"")</f>
        <v/>
      </c>
      <c r="L61" s="18" t="n"/>
      <c r="M61" s="17" t="n"/>
      <c r="N61" s="18" t="n"/>
      <c r="O61" s="20">
        <f>IF(OR(A61="",F61="Won",F61="Lost",F61="Not now"),"",IF(AND(ISNUMBER(N61),N61&lt;=TODAY()),"Due",IF(AND(F61="Messaged",ISNUMBER(H61),NOT(ISNUMBER(N61)),TODAY()-H61&gt;=3,TODAY()-H61&lt;=14),"Follow up","")))</f>
        <v/>
      </c>
      <c r="P61" s="21" t="n"/>
      <c r="Q61" s="16" t="n"/>
      <c r="R61" s="17" t="n"/>
    </row>
    <row r="62">
      <c r="A62" s="16" t="n"/>
      <c r="B62" s="16" t="n"/>
      <c r="C62" s="16" t="n"/>
      <c r="D62" s="16" t="n"/>
      <c r="E62" s="17" t="n"/>
      <c r="F62" s="16" t="n"/>
      <c r="G62" s="16" t="n"/>
      <c r="H62" s="18" t="n"/>
      <c r="I62" s="19">
        <f>IF(ISNUMBER(H62),H62+3,"")</f>
        <v/>
      </c>
      <c r="J62" s="19">
        <f>IF(ISNUMBER(H62),H62+7,"")</f>
        <v/>
      </c>
      <c r="K62" s="19">
        <f>IF(ISNUMBER(H62),H62+14,"")</f>
        <v/>
      </c>
      <c r="L62" s="18" t="n"/>
      <c r="M62" s="17" t="n"/>
      <c r="N62" s="18" t="n"/>
      <c r="O62" s="20">
        <f>IF(OR(A62="",F62="Won",F62="Lost",F62="Not now"),"",IF(AND(ISNUMBER(N62),N62&lt;=TODAY()),"Due",IF(AND(F62="Messaged",ISNUMBER(H62),NOT(ISNUMBER(N62)),TODAY()-H62&gt;=3,TODAY()-H62&lt;=14),"Follow up","")))</f>
        <v/>
      </c>
      <c r="P62" s="21" t="n"/>
      <c r="Q62" s="16" t="n"/>
      <c r="R62" s="17" t="n"/>
    </row>
    <row r="63">
      <c r="A63" s="16" t="n"/>
      <c r="B63" s="16" t="n"/>
      <c r="C63" s="16" t="n"/>
      <c r="D63" s="16" t="n"/>
      <c r="E63" s="17" t="n"/>
      <c r="F63" s="16" t="n"/>
      <c r="G63" s="16" t="n"/>
      <c r="H63" s="18" t="n"/>
      <c r="I63" s="19">
        <f>IF(ISNUMBER(H63),H63+3,"")</f>
        <v/>
      </c>
      <c r="J63" s="19">
        <f>IF(ISNUMBER(H63),H63+7,"")</f>
        <v/>
      </c>
      <c r="K63" s="19">
        <f>IF(ISNUMBER(H63),H63+14,"")</f>
        <v/>
      </c>
      <c r="L63" s="18" t="n"/>
      <c r="M63" s="17" t="n"/>
      <c r="N63" s="18" t="n"/>
      <c r="O63" s="20">
        <f>IF(OR(A63="",F63="Won",F63="Lost",F63="Not now"),"",IF(AND(ISNUMBER(N63),N63&lt;=TODAY()),"Due",IF(AND(F63="Messaged",ISNUMBER(H63),NOT(ISNUMBER(N63)),TODAY()-H63&gt;=3,TODAY()-H63&lt;=14),"Follow up","")))</f>
        <v/>
      </c>
      <c r="P63" s="21" t="n"/>
      <c r="Q63" s="16" t="n"/>
      <c r="R63" s="17" t="n"/>
    </row>
    <row r="64">
      <c r="A64" s="16" t="n"/>
      <c r="B64" s="16" t="n"/>
      <c r="C64" s="16" t="n"/>
      <c r="D64" s="16" t="n"/>
      <c r="E64" s="17" t="n"/>
      <c r="F64" s="16" t="n"/>
      <c r="G64" s="16" t="n"/>
      <c r="H64" s="18" t="n"/>
      <c r="I64" s="19">
        <f>IF(ISNUMBER(H64),H64+3,"")</f>
        <v/>
      </c>
      <c r="J64" s="19">
        <f>IF(ISNUMBER(H64),H64+7,"")</f>
        <v/>
      </c>
      <c r="K64" s="19">
        <f>IF(ISNUMBER(H64),H64+14,"")</f>
        <v/>
      </c>
      <c r="L64" s="18" t="n"/>
      <c r="M64" s="17" t="n"/>
      <c r="N64" s="18" t="n"/>
      <c r="O64" s="20">
        <f>IF(OR(A64="",F64="Won",F64="Lost",F64="Not now"),"",IF(AND(ISNUMBER(N64),N64&lt;=TODAY()),"Due",IF(AND(F64="Messaged",ISNUMBER(H64),NOT(ISNUMBER(N64)),TODAY()-H64&gt;=3,TODAY()-H64&lt;=14),"Follow up","")))</f>
        <v/>
      </c>
      <c r="P64" s="21" t="n"/>
      <c r="Q64" s="16" t="n"/>
      <c r="R64" s="17" t="n"/>
    </row>
    <row r="65">
      <c r="A65" s="16" t="n"/>
      <c r="B65" s="16" t="n"/>
      <c r="C65" s="16" t="n"/>
      <c r="D65" s="16" t="n"/>
      <c r="E65" s="17" t="n"/>
      <c r="F65" s="16" t="n"/>
      <c r="G65" s="16" t="n"/>
      <c r="H65" s="18" t="n"/>
      <c r="I65" s="19">
        <f>IF(ISNUMBER(H65),H65+3,"")</f>
        <v/>
      </c>
      <c r="J65" s="19">
        <f>IF(ISNUMBER(H65),H65+7,"")</f>
        <v/>
      </c>
      <c r="K65" s="19">
        <f>IF(ISNUMBER(H65),H65+14,"")</f>
        <v/>
      </c>
      <c r="L65" s="18" t="n"/>
      <c r="M65" s="17" t="n"/>
      <c r="N65" s="18" t="n"/>
      <c r="O65" s="20">
        <f>IF(OR(A65="",F65="Won",F65="Lost",F65="Not now"),"",IF(AND(ISNUMBER(N65),N65&lt;=TODAY()),"Due",IF(AND(F65="Messaged",ISNUMBER(H65),NOT(ISNUMBER(N65)),TODAY()-H65&gt;=3,TODAY()-H65&lt;=14),"Follow up","")))</f>
        <v/>
      </c>
      <c r="P65" s="21" t="n"/>
      <c r="Q65" s="16" t="n"/>
      <c r="R65" s="17" t="n"/>
    </row>
    <row r="66">
      <c r="A66" s="16" t="n"/>
      <c r="B66" s="16" t="n"/>
      <c r="C66" s="16" t="n"/>
      <c r="D66" s="16" t="n"/>
      <c r="E66" s="17" t="n"/>
      <c r="F66" s="16" t="n"/>
      <c r="G66" s="16" t="n"/>
      <c r="H66" s="18" t="n"/>
      <c r="I66" s="19">
        <f>IF(ISNUMBER(H66),H66+3,"")</f>
        <v/>
      </c>
      <c r="J66" s="19">
        <f>IF(ISNUMBER(H66),H66+7,"")</f>
        <v/>
      </c>
      <c r="K66" s="19">
        <f>IF(ISNUMBER(H66),H66+14,"")</f>
        <v/>
      </c>
      <c r="L66" s="18" t="n"/>
      <c r="M66" s="17" t="n"/>
      <c r="N66" s="18" t="n"/>
      <c r="O66" s="20">
        <f>IF(OR(A66="",F66="Won",F66="Lost",F66="Not now"),"",IF(AND(ISNUMBER(N66),N66&lt;=TODAY()),"Due",IF(AND(F66="Messaged",ISNUMBER(H66),NOT(ISNUMBER(N66)),TODAY()-H66&gt;=3,TODAY()-H66&lt;=14),"Follow up","")))</f>
        <v/>
      </c>
      <c r="P66" s="21" t="n"/>
      <c r="Q66" s="16" t="n"/>
      <c r="R66" s="17" t="n"/>
    </row>
    <row r="67">
      <c r="A67" s="16" t="n"/>
      <c r="B67" s="16" t="n"/>
      <c r="C67" s="16" t="n"/>
      <c r="D67" s="16" t="n"/>
      <c r="E67" s="17" t="n"/>
      <c r="F67" s="16" t="n"/>
      <c r="G67" s="16" t="n"/>
      <c r="H67" s="18" t="n"/>
      <c r="I67" s="19">
        <f>IF(ISNUMBER(H67),H67+3,"")</f>
        <v/>
      </c>
      <c r="J67" s="19">
        <f>IF(ISNUMBER(H67),H67+7,"")</f>
        <v/>
      </c>
      <c r="K67" s="19">
        <f>IF(ISNUMBER(H67),H67+14,"")</f>
        <v/>
      </c>
      <c r="L67" s="18" t="n"/>
      <c r="M67" s="17" t="n"/>
      <c r="N67" s="18" t="n"/>
      <c r="O67" s="20">
        <f>IF(OR(A67="",F67="Won",F67="Lost",F67="Not now"),"",IF(AND(ISNUMBER(N67),N67&lt;=TODAY()),"Due",IF(AND(F67="Messaged",ISNUMBER(H67),NOT(ISNUMBER(N67)),TODAY()-H67&gt;=3,TODAY()-H67&lt;=14),"Follow up","")))</f>
        <v/>
      </c>
      <c r="P67" s="21" t="n"/>
      <c r="Q67" s="16" t="n"/>
      <c r="R67" s="17" t="n"/>
    </row>
    <row r="68">
      <c r="A68" s="16" t="n"/>
      <c r="B68" s="16" t="n"/>
      <c r="C68" s="16" t="n"/>
      <c r="D68" s="16" t="n"/>
      <c r="E68" s="17" t="n"/>
      <c r="F68" s="16" t="n"/>
      <c r="G68" s="16" t="n"/>
      <c r="H68" s="18" t="n"/>
      <c r="I68" s="19">
        <f>IF(ISNUMBER(H68),H68+3,"")</f>
        <v/>
      </c>
      <c r="J68" s="19">
        <f>IF(ISNUMBER(H68),H68+7,"")</f>
        <v/>
      </c>
      <c r="K68" s="19">
        <f>IF(ISNUMBER(H68),H68+14,"")</f>
        <v/>
      </c>
      <c r="L68" s="18" t="n"/>
      <c r="M68" s="17" t="n"/>
      <c r="N68" s="18" t="n"/>
      <c r="O68" s="20">
        <f>IF(OR(A68="",F68="Won",F68="Lost",F68="Not now"),"",IF(AND(ISNUMBER(N68),N68&lt;=TODAY()),"Due",IF(AND(F68="Messaged",ISNUMBER(H68),NOT(ISNUMBER(N68)),TODAY()-H68&gt;=3,TODAY()-H68&lt;=14),"Follow up","")))</f>
        <v/>
      </c>
      <c r="P68" s="21" t="n"/>
      <c r="Q68" s="16" t="n"/>
      <c r="R68" s="17" t="n"/>
    </row>
    <row r="69">
      <c r="A69" s="16" t="n"/>
      <c r="B69" s="16" t="n"/>
      <c r="C69" s="16" t="n"/>
      <c r="D69" s="16" t="n"/>
      <c r="E69" s="17" t="n"/>
      <c r="F69" s="16" t="n"/>
      <c r="G69" s="16" t="n"/>
      <c r="H69" s="18" t="n"/>
      <c r="I69" s="19">
        <f>IF(ISNUMBER(H69),H69+3,"")</f>
        <v/>
      </c>
      <c r="J69" s="19">
        <f>IF(ISNUMBER(H69),H69+7,"")</f>
        <v/>
      </c>
      <c r="K69" s="19">
        <f>IF(ISNUMBER(H69),H69+14,"")</f>
        <v/>
      </c>
      <c r="L69" s="18" t="n"/>
      <c r="M69" s="17" t="n"/>
      <c r="N69" s="18" t="n"/>
      <c r="O69" s="20">
        <f>IF(OR(A69="",F69="Won",F69="Lost",F69="Not now"),"",IF(AND(ISNUMBER(N69),N69&lt;=TODAY()),"Due",IF(AND(F69="Messaged",ISNUMBER(H69),NOT(ISNUMBER(N69)),TODAY()-H69&gt;=3,TODAY()-H69&lt;=14),"Follow up","")))</f>
        <v/>
      </c>
      <c r="P69" s="21" t="n"/>
      <c r="Q69" s="16" t="n"/>
      <c r="R69" s="17" t="n"/>
    </row>
    <row r="70">
      <c r="A70" s="16" t="n"/>
      <c r="B70" s="16" t="n"/>
      <c r="C70" s="16" t="n"/>
      <c r="D70" s="16" t="n"/>
      <c r="E70" s="17" t="n"/>
      <c r="F70" s="16" t="n"/>
      <c r="G70" s="16" t="n"/>
      <c r="H70" s="18" t="n"/>
      <c r="I70" s="19">
        <f>IF(ISNUMBER(H70),H70+3,"")</f>
        <v/>
      </c>
      <c r="J70" s="19">
        <f>IF(ISNUMBER(H70),H70+7,"")</f>
        <v/>
      </c>
      <c r="K70" s="19">
        <f>IF(ISNUMBER(H70),H70+14,"")</f>
        <v/>
      </c>
      <c r="L70" s="18" t="n"/>
      <c r="M70" s="17" t="n"/>
      <c r="N70" s="18" t="n"/>
      <c r="O70" s="20">
        <f>IF(OR(A70="",F70="Won",F70="Lost",F70="Not now"),"",IF(AND(ISNUMBER(N70),N70&lt;=TODAY()),"Due",IF(AND(F70="Messaged",ISNUMBER(H70),NOT(ISNUMBER(N70)),TODAY()-H70&gt;=3,TODAY()-H70&lt;=14),"Follow up","")))</f>
        <v/>
      </c>
      <c r="P70" s="21" t="n"/>
      <c r="Q70" s="16" t="n"/>
      <c r="R70" s="17" t="n"/>
    </row>
    <row r="71">
      <c r="A71" s="16" t="n"/>
      <c r="B71" s="16" t="n"/>
      <c r="C71" s="16" t="n"/>
      <c r="D71" s="16" t="n"/>
      <c r="E71" s="17" t="n"/>
      <c r="F71" s="16" t="n"/>
      <c r="G71" s="16" t="n"/>
      <c r="H71" s="18" t="n"/>
      <c r="I71" s="19">
        <f>IF(ISNUMBER(H71),H71+3,"")</f>
        <v/>
      </c>
      <c r="J71" s="19">
        <f>IF(ISNUMBER(H71),H71+7,"")</f>
        <v/>
      </c>
      <c r="K71" s="19">
        <f>IF(ISNUMBER(H71),H71+14,"")</f>
        <v/>
      </c>
      <c r="L71" s="18" t="n"/>
      <c r="M71" s="17" t="n"/>
      <c r="N71" s="18" t="n"/>
      <c r="O71" s="20">
        <f>IF(OR(A71="",F71="Won",F71="Lost",F71="Not now"),"",IF(AND(ISNUMBER(N71),N71&lt;=TODAY()),"Due",IF(AND(F71="Messaged",ISNUMBER(H71),NOT(ISNUMBER(N71)),TODAY()-H71&gt;=3,TODAY()-H71&lt;=14),"Follow up","")))</f>
        <v/>
      </c>
      <c r="P71" s="21" t="n"/>
      <c r="Q71" s="16" t="n"/>
      <c r="R71" s="17" t="n"/>
    </row>
    <row r="72">
      <c r="A72" s="16" t="n"/>
      <c r="B72" s="16" t="n"/>
      <c r="C72" s="16" t="n"/>
      <c r="D72" s="16" t="n"/>
      <c r="E72" s="17" t="n"/>
      <c r="F72" s="16" t="n"/>
      <c r="G72" s="16" t="n"/>
      <c r="H72" s="18" t="n"/>
      <c r="I72" s="19">
        <f>IF(ISNUMBER(H72),H72+3,"")</f>
        <v/>
      </c>
      <c r="J72" s="19">
        <f>IF(ISNUMBER(H72),H72+7,"")</f>
        <v/>
      </c>
      <c r="K72" s="19">
        <f>IF(ISNUMBER(H72),H72+14,"")</f>
        <v/>
      </c>
      <c r="L72" s="18" t="n"/>
      <c r="M72" s="17" t="n"/>
      <c r="N72" s="18" t="n"/>
      <c r="O72" s="20">
        <f>IF(OR(A72="",F72="Won",F72="Lost",F72="Not now"),"",IF(AND(ISNUMBER(N72),N72&lt;=TODAY()),"Due",IF(AND(F72="Messaged",ISNUMBER(H72),NOT(ISNUMBER(N72)),TODAY()-H72&gt;=3,TODAY()-H72&lt;=14),"Follow up","")))</f>
        <v/>
      </c>
      <c r="P72" s="21" t="n"/>
      <c r="Q72" s="16" t="n"/>
      <c r="R72" s="17" t="n"/>
    </row>
    <row r="73">
      <c r="A73" s="16" t="n"/>
      <c r="B73" s="16" t="n"/>
      <c r="C73" s="16" t="n"/>
      <c r="D73" s="16" t="n"/>
      <c r="E73" s="17" t="n"/>
      <c r="F73" s="16" t="n"/>
      <c r="G73" s="16" t="n"/>
      <c r="H73" s="18" t="n"/>
      <c r="I73" s="19">
        <f>IF(ISNUMBER(H73),H73+3,"")</f>
        <v/>
      </c>
      <c r="J73" s="19">
        <f>IF(ISNUMBER(H73),H73+7,"")</f>
        <v/>
      </c>
      <c r="K73" s="19">
        <f>IF(ISNUMBER(H73),H73+14,"")</f>
        <v/>
      </c>
      <c r="L73" s="18" t="n"/>
      <c r="M73" s="17" t="n"/>
      <c r="N73" s="18" t="n"/>
      <c r="O73" s="20">
        <f>IF(OR(A73="",F73="Won",F73="Lost",F73="Not now"),"",IF(AND(ISNUMBER(N73),N73&lt;=TODAY()),"Due",IF(AND(F73="Messaged",ISNUMBER(H73),NOT(ISNUMBER(N73)),TODAY()-H73&gt;=3,TODAY()-H73&lt;=14),"Follow up","")))</f>
        <v/>
      </c>
      <c r="P73" s="21" t="n"/>
      <c r="Q73" s="16" t="n"/>
      <c r="R73" s="17" t="n"/>
    </row>
    <row r="74">
      <c r="A74" s="16" t="n"/>
      <c r="B74" s="16" t="n"/>
      <c r="C74" s="16" t="n"/>
      <c r="D74" s="16" t="n"/>
      <c r="E74" s="17" t="n"/>
      <c r="F74" s="16" t="n"/>
      <c r="G74" s="16" t="n"/>
      <c r="H74" s="18" t="n"/>
      <c r="I74" s="19">
        <f>IF(ISNUMBER(H74),H74+3,"")</f>
        <v/>
      </c>
      <c r="J74" s="19">
        <f>IF(ISNUMBER(H74),H74+7,"")</f>
        <v/>
      </c>
      <c r="K74" s="19">
        <f>IF(ISNUMBER(H74),H74+14,"")</f>
        <v/>
      </c>
      <c r="L74" s="18" t="n"/>
      <c r="M74" s="17" t="n"/>
      <c r="N74" s="18" t="n"/>
      <c r="O74" s="20">
        <f>IF(OR(A74="",F74="Won",F74="Lost",F74="Not now"),"",IF(AND(ISNUMBER(N74),N74&lt;=TODAY()),"Due",IF(AND(F74="Messaged",ISNUMBER(H74),NOT(ISNUMBER(N74)),TODAY()-H74&gt;=3,TODAY()-H74&lt;=14),"Follow up","")))</f>
        <v/>
      </c>
      <c r="P74" s="21" t="n"/>
      <c r="Q74" s="16" t="n"/>
      <c r="R74" s="17" t="n"/>
    </row>
    <row r="75">
      <c r="A75" s="16" t="n"/>
      <c r="B75" s="16" t="n"/>
      <c r="C75" s="16" t="n"/>
      <c r="D75" s="16" t="n"/>
      <c r="E75" s="17" t="n"/>
      <c r="F75" s="16" t="n"/>
      <c r="G75" s="16" t="n"/>
      <c r="H75" s="18" t="n"/>
      <c r="I75" s="19">
        <f>IF(ISNUMBER(H75),H75+3,"")</f>
        <v/>
      </c>
      <c r="J75" s="19">
        <f>IF(ISNUMBER(H75),H75+7,"")</f>
        <v/>
      </c>
      <c r="K75" s="19">
        <f>IF(ISNUMBER(H75),H75+14,"")</f>
        <v/>
      </c>
      <c r="L75" s="18" t="n"/>
      <c r="M75" s="17" t="n"/>
      <c r="N75" s="18" t="n"/>
      <c r="O75" s="20">
        <f>IF(OR(A75="",F75="Won",F75="Lost",F75="Not now"),"",IF(AND(ISNUMBER(N75),N75&lt;=TODAY()),"Due",IF(AND(F75="Messaged",ISNUMBER(H75),NOT(ISNUMBER(N75)),TODAY()-H75&gt;=3,TODAY()-H75&lt;=14),"Follow up","")))</f>
        <v/>
      </c>
      <c r="P75" s="21" t="n"/>
      <c r="Q75" s="16" t="n"/>
      <c r="R75" s="17" t="n"/>
    </row>
    <row r="76">
      <c r="A76" s="16" t="n"/>
      <c r="B76" s="16" t="n"/>
      <c r="C76" s="16" t="n"/>
      <c r="D76" s="16" t="n"/>
      <c r="E76" s="17" t="n"/>
      <c r="F76" s="16" t="n"/>
      <c r="G76" s="16" t="n"/>
      <c r="H76" s="18" t="n"/>
      <c r="I76" s="19">
        <f>IF(ISNUMBER(H76),H76+3,"")</f>
        <v/>
      </c>
      <c r="J76" s="19">
        <f>IF(ISNUMBER(H76),H76+7,"")</f>
        <v/>
      </c>
      <c r="K76" s="19">
        <f>IF(ISNUMBER(H76),H76+14,"")</f>
        <v/>
      </c>
      <c r="L76" s="18" t="n"/>
      <c r="M76" s="17" t="n"/>
      <c r="N76" s="18" t="n"/>
      <c r="O76" s="20">
        <f>IF(OR(A76="",F76="Won",F76="Lost",F76="Not now"),"",IF(AND(ISNUMBER(N76),N76&lt;=TODAY()),"Due",IF(AND(F76="Messaged",ISNUMBER(H76),NOT(ISNUMBER(N76)),TODAY()-H76&gt;=3,TODAY()-H76&lt;=14),"Follow up","")))</f>
        <v/>
      </c>
      <c r="P76" s="21" t="n"/>
      <c r="Q76" s="16" t="n"/>
      <c r="R76" s="17" t="n"/>
    </row>
    <row r="77">
      <c r="A77" s="16" t="n"/>
      <c r="B77" s="16" t="n"/>
      <c r="C77" s="16" t="n"/>
      <c r="D77" s="16" t="n"/>
      <c r="E77" s="17" t="n"/>
      <c r="F77" s="16" t="n"/>
      <c r="G77" s="16" t="n"/>
      <c r="H77" s="18" t="n"/>
      <c r="I77" s="19">
        <f>IF(ISNUMBER(H77),H77+3,"")</f>
        <v/>
      </c>
      <c r="J77" s="19">
        <f>IF(ISNUMBER(H77),H77+7,"")</f>
        <v/>
      </c>
      <c r="K77" s="19">
        <f>IF(ISNUMBER(H77),H77+14,"")</f>
        <v/>
      </c>
      <c r="L77" s="18" t="n"/>
      <c r="M77" s="17" t="n"/>
      <c r="N77" s="18" t="n"/>
      <c r="O77" s="20">
        <f>IF(OR(A77="",F77="Won",F77="Lost",F77="Not now"),"",IF(AND(ISNUMBER(N77),N77&lt;=TODAY()),"Due",IF(AND(F77="Messaged",ISNUMBER(H77),NOT(ISNUMBER(N77)),TODAY()-H77&gt;=3,TODAY()-H77&lt;=14),"Follow up","")))</f>
        <v/>
      </c>
      <c r="P77" s="21" t="n"/>
      <c r="Q77" s="16" t="n"/>
      <c r="R77" s="17" t="n"/>
    </row>
    <row r="78">
      <c r="A78" s="16" t="n"/>
      <c r="B78" s="16" t="n"/>
      <c r="C78" s="16" t="n"/>
      <c r="D78" s="16" t="n"/>
      <c r="E78" s="17" t="n"/>
      <c r="F78" s="16" t="n"/>
      <c r="G78" s="16" t="n"/>
      <c r="H78" s="18" t="n"/>
      <c r="I78" s="19">
        <f>IF(ISNUMBER(H78),H78+3,"")</f>
        <v/>
      </c>
      <c r="J78" s="19">
        <f>IF(ISNUMBER(H78),H78+7,"")</f>
        <v/>
      </c>
      <c r="K78" s="19">
        <f>IF(ISNUMBER(H78),H78+14,"")</f>
        <v/>
      </c>
      <c r="L78" s="18" t="n"/>
      <c r="M78" s="17" t="n"/>
      <c r="N78" s="18" t="n"/>
      <c r="O78" s="20">
        <f>IF(OR(A78="",F78="Won",F78="Lost",F78="Not now"),"",IF(AND(ISNUMBER(N78),N78&lt;=TODAY()),"Due",IF(AND(F78="Messaged",ISNUMBER(H78),NOT(ISNUMBER(N78)),TODAY()-H78&gt;=3,TODAY()-H78&lt;=14),"Follow up","")))</f>
        <v/>
      </c>
      <c r="P78" s="21" t="n"/>
      <c r="Q78" s="16" t="n"/>
      <c r="R78" s="17" t="n"/>
    </row>
    <row r="79">
      <c r="A79" s="16" t="n"/>
      <c r="B79" s="16" t="n"/>
      <c r="C79" s="16" t="n"/>
      <c r="D79" s="16" t="n"/>
      <c r="E79" s="17" t="n"/>
      <c r="F79" s="16" t="n"/>
      <c r="G79" s="16" t="n"/>
      <c r="H79" s="18" t="n"/>
      <c r="I79" s="19">
        <f>IF(ISNUMBER(H79),H79+3,"")</f>
        <v/>
      </c>
      <c r="J79" s="19">
        <f>IF(ISNUMBER(H79),H79+7,"")</f>
        <v/>
      </c>
      <c r="K79" s="19">
        <f>IF(ISNUMBER(H79),H79+14,"")</f>
        <v/>
      </c>
      <c r="L79" s="18" t="n"/>
      <c r="M79" s="17" t="n"/>
      <c r="N79" s="18" t="n"/>
      <c r="O79" s="20">
        <f>IF(OR(A79="",F79="Won",F79="Lost",F79="Not now"),"",IF(AND(ISNUMBER(N79),N79&lt;=TODAY()),"Due",IF(AND(F79="Messaged",ISNUMBER(H79),NOT(ISNUMBER(N79)),TODAY()-H79&gt;=3,TODAY()-H79&lt;=14),"Follow up","")))</f>
        <v/>
      </c>
      <c r="P79" s="21" t="n"/>
      <c r="Q79" s="16" t="n"/>
      <c r="R79" s="17" t="n"/>
    </row>
    <row r="80">
      <c r="A80" s="16" t="n"/>
      <c r="B80" s="16" t="n"/>
      <c r="C80" s="16" t="n"/>
      <c r="D80" s="16" t="n"/>
      <c r="E80" s="17" t="n"/>
      <c r="F80" s="16" t="n"/>
      <c r="G80" s="16" t="n"/>
      <c r="H80" s="18" t="n"/>
      <c r="I80" s="19">
        <f>IF(ISNUMBER(H80),H80+3,"")</f>
        <v/>
      </c>
      <c r="J80" s="19">
        <f>IF(ISNUMBER(H80),H80+7,"")</f>
        <v/>
      </c>
      <c r="K80" s="19">
        <f>IF(ISNUMBER(H80),H80+14,"")</f>
        <v/>
      </c>
      <c r="L80" s="18" t="n"/>
      <c r="M80" s="17" t="n"/>
      <c r="N80" s="18" t="n"/>
      <c r="O80" s="20">
        <f>IF(OR(A80="",F80="Won",F80="Lost",F80="Not now"),"",IF(AND(ISNUMBER(N80),N80&lt;=TODAY()),"Due",IF(AND(F80="Messaged",ISNUMBER(H80),NOT(ISNUMBER(N80)),TODAY()-H80&gt;=3,TODAY()-H80&lt;=14),"Follow up","")))</f>
        <v/>
      </c>
      <c r="P80" s="21" t="n"/>
      <c r="Q80" s="16" t="n"/>
      <c r="R80" s="17" t="n"/>
    </row>
    <row r="81">
      <c r="A81" s="16" t="n"/>
      <c r="B81" s="16" t="n"/>
      <c r="C81" s="16" t="n"/>
      <c r="D81" s="16" t="n"/>
      <c r="E81" s="17" t="n"/>
      <c r="F81" s="16" t="n"/>
      <c r="G81" s="16" t="n"/>
      <c r="H81" s="18" t="n"/>
      <c r="I81" s="19">
        <f>IF(ISNUMBER(H81),H81+3,"")</f>
        <v/>
      </c>
      <c r="J81" s="19">
        <f>IF(ISNUMBER(H81),H81+7,"")</f>
        <v/>
      </c>
      <c r="K81" s="19">
        <f>IF(ISNUMBER(H81),H81+14,"")</f>
        <v/>
      </c>
      <c r="L81" s="18" t="n"/>
      <c r="M81" s="17" t="n"/>
      <c r="N81" s="18" t="n"/>
      <c r="O81" s="20">
        <f>IF(OR(A81="",F81="Won",F81="Lost",F81="Not now"),"",IF(AND(ISNUMBER(N81),N81&lt;=TODAY()),"Due",IF(AND(F81="Messaged",ISNUMBER(H81),NOT(ISNUMBER(N81)),TODAY()-H81&gt;=3,TODAY()-H81&lt;=14),"Follow up","")))</f>
        <v/>
      </c>
      <c r="P81" s="21" t="n"/>
      <c r="Q81" s="16" t="n"/>
      <c r="R81" s="17" t="n"/>
    </row>
    <row r="82">
      <c r="A82" s="16" t="n"/>
      <c r="B82" s="16" t="n"/>
      <c r="C82" s="16" t="n"/>
      <c r="D82" s="16" t="n"/>
      <c r="E82" s="17" t="n"/>
      <c r="F82" s="16" t="n"/>
      <c r="G82" s="16" t="n"/>
      <c r="H82" s="18" t="n"/>
      <c r="I82" s="19">
        <f>IF(ISNUMBER(H82),H82+3,"")</f>
        <v/>
      </c>
      <c r="J82" s="19">
        <f>IF(ISNUMBER(H82),H82+7,"")</f>
        <v/>
      </c>
      <c r="K82" s="19">
        <f>IF(ISNUMBER(H82),H82+14,"")</f>
        <v/>
      </c>
      <c r="L82" s="18" t="n"/>
      <c r="M82" s="17" t="n"/>
      <c r="N82" s="18" t="n"/>
      <c r="O82" s="20">
        <f>IF(OR(A82="",F82="Won",F82="Lost",F82="Not now"),"",IF(AND(ISNUMBER(N82),N82&lt;=TODAY()),"Due",IF(AND(F82="Messaged",ISNUMBER(H82),NOT(ISNUMBER(N82)),TODAY()-H82&gt;=3,TODAY()-H82&lt;=14),"Follow up","")))</f>
        <v/>
      </c>
      <c r="P82" s="21" t="n"/>
      <c r="Q82" s="16" t="n"/>
      <c r="R82" s="17" t="n"/>
    </row>
    <row r="83">
      <c r="A83" s="16" t="n"/>
      <c r="B83" s="16" t="n"/>
      <c r="C83" s="16" t="n"/>
      <c r="D83" s="16" t="n"/>
      <c r="E83" s="17" t="n"/>
      <c r="F83" s="16" t="n"/>
      <c r="G83" s="16" t="n"/>
      <c r="H83" s="18" t="n"/>
      <c r="I83" s="19">
        <f>IF(ISNUMBER(H83),H83+3,"")</f>
        <v/>
      </c>
      <c r="J83" s="19">
        <f>IF(ISNUMBER(H83),H83+7,"")</f>
        <v/>
      </c>
      <c r="K83" s="19">
        <f>IF(ISNUMBER(H83),H83+14,"")</f>
        <v/>
      </c>
      <c r="L83" s="18" t="n"/>
      <c r="M83" s="17" t="n"/>
      <c r="N83" s="18" t="n"/>
      <c r="O83" s="20">
        <f>IF(OR(A83="",F83="Won",F83="Lost",F83="Not now"),"",IF(AND(ISNUMBER(N83),N83&lt;=TODAY()),"Due",IF(AND(F83="Messaged",ISNUMBER(H83),NOT(ISNUMBER(N83)),TODAY()-H83&gt;=3,TODAY()-H83&lt;=14),"Follow up","")))</f>
        <v/>
      </c>
      <c r="P83" s="21" t="n"/>
      <c r="Q83" s="16" t="n"/>
      <c r="R83" s="17" t="n"/>
    </row>
    <row r="84">
      <c r="A84" s="16" t="n"/>
      <c r="B84" s="16" t="n"/>
      <c r="C84" s="16" t="n"/>
      <c r="D84" s="16" t="n"/>
      <c r="E84" s="17" t="n"/>
      <c r="F84" s="16" t="n"/>
      <c r="G84" s="16" t="n"/>
      <c r="H84" s="18" t="n"/>
      <c r="I84" s="19">
        <f>IF(ISNUMBER(H84),H84+3,"")</f>
        <v/>
      </c>
      <c r="J84" s="19">
        <f>IF(ISNUMBER(H84),H84+7,"")</f>
        <v/>
      </c>
      <c r="K84" s="19">
        <f>IF(ISNUMBER(H84),H84+14,"")</f>
        <v/>
      </c>
      <c r="L84" s="18" t="n"/>
      <c r="M84" s="17" t="n"/>
      <c r="N84" s="18" t="n"/>
      <c r="O84" s="20">
        <f>IF(OR(A84="",F84="Won",F84="Lost",F84="Not now"),"",IF(AND(ISNUMBER(N84),N84&lt;=TODAY()),"Due",IF(AND(F84="Messaged",ISNUMBER(H84),NOT(ISNUMBER(N84)),TODAY()-H84&gt;=3,TODAY()-H84&lt;=14),"Follow up","")))</f>
        <v/>
      </c>
      <c r="P84" s="21" t="n"/>
      <c r="Q84" s="16" t="n"/>
      <c r="R84" s="17" t="n"/>
    </row>
    <row r="85">
      <c r="A85" s="16" t="n"/>
      <c r="B85" s="16" t="n"/>
      <c r="C85" s="16" t="n"/>
      <c r="D85" s="16" t="n"/>
      <c r="E85" s="17" t="n"/>
      <c r="F85" s="16" t="n"/>
      <c r="G85" s="16" t="n"/>
      <c r="H85" s="18" t="n"/>
      <c r="I85" s="19">
        <f>IF(ISNUMBER(H85),H85+3,"")</f>
        <v/>
      </c>
      <c r="J85" s="19">
        <f>IF(ISNUMBER(H85),H85+7,"")</f>
        <v/>
      </c>
      <c r="K85" s="19">
        <f>IF(ISNUMBER(H85),H85+14,"")</f>
        <v/>
      </c>
      <c r="L85" s="18" t="n"/>
      <c r="M85" s="17" t="n"/>
      <c r="N85" s="18" t="n"/>
      <c r="O85" s="20">
        <f>IF(OR(A85="",F85="Won",F85="Lost",F85="Not now"),"",IF(AND(ISNUMBER(N85),N85&lt;=TODAY()),"Due",IF(AND(F85="Messaged",ISNUMBER(H85),NOT(ISNUMBER(N85)),TODAY()-H85&gt;=3,TODAY()-H85&lt;=14),"Follow up","")))</f>
        <v/>
      </c>
      <c r="P85" s="21" t="n"/>
      <c r="Q85" s="16" t="n"/>
      <c r="R85" s="17" t="n"/>
    </row>
    <row r="86">
      <c r="A86" s="16" t="n"/>
      <c r="B86" s="16" t="n"/>
      <c r="C86" s="16" t="n"/>
      <c r="D86" s="16" t="n"/>
      <c r="E86" s="17" t="n"/>
      <c r="F86" s="16" t="n"/>
      <c r="G86" s="16" t="n"/>
      <c r="H86" s="18" t="n"/>
      <c r="I86" s="19">
        <f>IF(ISNUMBER(H86),H86+3,"")</f>
        <v/>
      </c>
      <c r="J86" s="19">
        <f>IF(ISNUMBER(H86),H86+7,"")</f>
        <v/>
      </c>
      <c r="K86" s="19">
        <f>IF(ISNUMBER(H86),H86+14,"")</f>
        <v/>
      </c>
      <c r="L86" s="18" t="n"/>
      <c r="M86" s="17" t="n"/>
      <c r="N86" s="18" t="n"/>
      <c r="O86" s="20">
        <f>IF(OR(A86="",F86="Won",F86="Lost",F86="Not now"),"",IF(AND(ISNUMBER(N86),N86&lt;=TODAY()),"Due",IF(AND(F86="Messaged",ISNUMBER(H86),NOT(ISNUMBER(N86)),TODAY()-H86&gt;=3,TODAY()-H86&lt;=14),"Follow up","")))</f>
        <v/>
      </c>
      <c r="P86" s="21" t="n"/>
      <c r="Q86" s="16" t="n"/>
      <c r="R86" s="17" t="n"/>
    </row>
    <row r="87">
      <c r="A87" s="16" t="n"/>
      <c r="B87" s="16" t="n"/>
      <c r="C87" s="16" t="n"/>
      <c r="D87" s="16" t="n"/>
      <c r="E87" s="17" t="n"/>
      <c r="F87" s="16" t="n"/>
      <c r="G87" s="16" t="n"/>
      <c r="H87" s="18" t="n"/>
      <c r="I87" s="19">
        <f>IF(ISNUMBER(H87),H87+3,"")</f>
        <v/>
      </c>
      <c r="J87" s="19">
        <f>IF(ISNUMBER(H87),H87+7,"")</f>
        <v/>
      </c>
      <c r="K87" s="19">
        <f>IF(ISNUMBER(H87),H87+14,"")</f>
        <v/>
      </c>
      <c r="L87" s="18" t="n"/>
      <c r="M87" s="17" t="n"/>
      <c r="N87" s="18" t="n"/>
      <c r="O87" s="20">
        <f>IF(OR(A87="",F87="Won",F87="Lost",F87="Not now"),"",IF(AND(ISNUMBER(N87),N87&lt;=TODAY()),"Due",IF(AND(F87="Messaged",ISNUMBER(H87),NOT(ISNUMBER(N87)),TODAY()-H87&gt;=3,TODAY()-H87&lt;=14),"Follow up","")))</f>
        <v/>
      </c>
      <c r="P87" s="21" t="n"/>
      <c r="Q87" s="16" t="n"/>
      <c r="R87" s="17" t="n"/>
    </row>
    <row r="88">
      <c r="A88" s="16" t="n"/>
      <c r="B88" s="16" t="n"/>
      <c r="C88" s="16" t="n"/>
      <c r="D88" s="16" t="n"/>
      <c r="E88" s="17" t="n"/>
      <c r="F88" s="16" t="n"/>
      <c r="G88" s="16" t="n"/>
      <c r="H88" s="18" t="n"/>
      <c r="I88" s="19">
        <f>IF(ISNUMBER(H88),H88+3,"")</f>
        <v/>
      </c>
      <c r="J88" s="19">
        <f>IF(ISNUMBER(H88),H88+7,"")</f>
        <v/>
      </c>
      <c r="K88" s="19">
        <f>IF(ISNUMBER(H88),H88+14,"")</f>
        <v/>
      </c>
      <c r="L88" s="18" t="n"/>
      <c r="M88" s="17" t="n"/>
      <c r="N88" s="18" t="n"/>
      <c r="O88" s="20">
        <f>IF(OR(A88="",F88="Won",F88="Lost",F88="Not now"),"",IF(AND(ISNUMBER(N88),N88&lt;=TODAY()),"Due",IF(AND(F88="Messaged",ISNUMBER(H88),NOT(ISNUMBER(N88)),TODAY()-H88&gt;=3,TODAY()-H88&lt;=14),"Follow up","")))</f>
        <v/>
      </c>
      <c r="P88" s="21" t="n"/>
      <c r="Q88" s="16" t="n"/>
      <c r="R88" s="17" t="n"/>
    </row>
    <row r="89">
      <c r="A89" s="16" t="n"/>
      <c r="B89" s="16" t="n"/>
      <c r="C89" s="16" t="n"/>
      <c r="D89" s="16" t="n"/>
      <c r="E89" s="17" t="n"/>
      <c r="F89" s="16" t="n"/>
      <c r="G89" s="16" t="n"/>
      <c r="H89" s="18" t="n"/>
      <c r="I89" s="19">
        <f>IF(ISNUMBER(H89),H89+3,"")</f>
        <v/>
      </c>
      <c r="J89" s="19">
        <f>IF(ISNUMBER(H89),H89+7,"")</f>
        <v/>
      </c>
      <c r="K89" s="19">
        <f>IF(ISNUMBER(H89),H89+14,"")</f>
        <v/>
      </c>
      <c r="L89" s="18" t="n"/>
      <c r="M89" s="17" t="n"/>
      <c r="N89" s="18" t="n"/>
      <c r="O89" s="20">
        <f>IF(OR(A89="",F89="Won",F89="Lost",F89="Not now"),"",IF(AND(ISNUMBER(N89),N89&lt;=TODAY()),"Due",IF(AND(F89="Messaged",ISNUMBER(H89),NOT(ISNUMBER(N89)),TODAY()-H89&gt;=3,TODAY()-H89&lt;=14),"Follow up","")))</f>
        <v/>
      </c>
      <c r="P89" s="21" t="n"/>
      <c r="Q89" s="16" t="n"/>
      <c r="R89" s="17" t="n"/>
    </row>
    <row r="90">
      <c r="A90" s="16" t="n"/>
      <c r="B90" s="16" t="n"/>
      <c r="C90" s="16" t="n"/>
      <c r="D90" s="16" t="n"/>
      <c r="E90" s="17" t="n"/>
      <c r="F90" s="16" t="n"/>
      <c r="G90" s="16" t="n"/>
      <c r="H90" s="18" t="n"/>
      <c r="I90" s="19">
        <f>IF(ISNUMBER(H90),H90+3,"")</f>
        <v/>
      </c>
      <c r="J90" s="19">
        <f>IF(ISNUMBER(H90),H90+7,"")</f>
        <v/>
      </c>
      <c r="K90" s="19">
        <f>IF(ISNUMBER(H90),H90+14,"")</f>
        <v/>
      </c>
      <c r="L90" s="18" t="n"/>
      <c r="M90" s="17" t="n"/>
      <c r="N90" s="18" t="n"/>
      <c r="O90" s="20">
        <f>IF(OR(A90="",F90="Won",F90="Lost",F90="Not now"),"",IF(AND(ISNUMBER(N90),N90&lt;=TODAY()),"Due",IF(AND(F90="Messaged",ISNUMBER(H90),NOT(ISNUMBER(N90)),TODAY()-H90&gt;=3,TODAY()-H90&lt;=14),"Follow up","")))</f>
        <v/>
      </c>
      <c r="P90" s="21" t="n"/>
      <c r="Q90" s="16" t="n"/>
      <c r="R90" s="17" t="n"/>
    </row>
    <row r="91">
      <c r="A91" s="16" t="n"/>
      <c r="B91" s="16" t="n"/>
      <c r="C91" s="16" t="n"/>
      <c r="D91" s="16" t="n"/>
      <c r="E91" s="17" t="n"/>
      <c r="F91" s="16" t="n"/>
      <c r="G91" s="16" t="n"/>
      <c r="H91" s="18" t="n"/>
      <c r="I91" s="19">
        <f>IF(ISNUMBER(H91),H91+3,"")</f>
        <v/>
      </c>
      <c r="J91" s="19">
        <f>IF(ISNUMBER(H91),H91+7,"")</f>
        <v/>
      </c>
      <c r="K91" s="19">
        <f>IF(ISNUMBER(H91),H91+14,"")</f>
        <v/>
      </c>
      <c r="L91" s="18" t="n"/>
      <c r="M91" s="17" t="n"/>
      <c r="N91" s="18" t="n"/>
      <c r="O91" s="20">
        <f>IF(OR(A91="",F91="Won",F91="Lost",F91="Not now"),"",IF(AND(ISNUMBER(N91),N91&lt;=TODAY()),"Due",IF(AND(F91="Messaged",ISNUMBER(H91),NOT(ISNUMBER(N91)),TODAY()-H91&gt;=3,TODAY()-H91&lt;=14),"Follow up","")))</f>
        <v/>
      </c>
      <c r="P91" s="21" t="n"/>
      <c r="Q91" s="16" t="n"/>
      <c r="R91" s="17" t="n"/>
    </row>
    <row r="92">
      <c r="A92" s="16" t="n"/>
      <c r="B92" s="16" t="n"/>
      <c r="C92" s="16" t="n"/>
      <c r="D92" s="16" t="n"/>
      <c r="E92" s="17" t="n"/>
      <c r="F92" s="16" t="n"/>
      <c r="G92" s="16" t="n"/>
      <c r="H92" s="18" t="n"/>
      <c r="I92" s="19">
        <f>IF(ISNUMBER(H92),H92+3,"")</f>
        <v/>
      </c>
      <c r="J92" s="19">
        <f>IF(ISNUMBER(H92),H92+7,"")</f>
        <v/>
      </c>
      <c r="K92" s="19">
        <f>IF(ISNUMBER(H92),H92+14,"")</f>
        <v/>
      </c>
      <c r="L92" s="18" t="n"/>
      <c r="M92" s="17" t="n"/>
      <c r="N92" s="18" t="n"/>
      <c r="O92" s="20">
        <f>IF(OR(A92="",F92="Won",F92="Lost",F92="Not now"),"",IF(AND(ISNUMBER(N92),N92&lt;=TODAY()),"Due",IF(AND(F92="Messaged",ISNUMBER(H92),NOT(ISNUMBER(N92)),TODAY()-H92&gt;=3,TODAY()-H92&lt;=14),"Follow up","")))</f>
        <v/>
      </c>
      <c r="P92" s="21" t="n"/>
      <c r="Q92" s="16" t="n"/>
      <c r="R92" s="17" t="n"/>
    </row>
    <row r="93">
      <c r="A93" s="16" t="n"/>
      <c r="B93" s="16" t="n"/>
      <c r="C93" s="16" t="n"/>
      <c r="D93" s="16" t="n"/>
      <c r="E93" s="17" t="n"/>
      <c r="F93" s="16" t="n"/>
      <c r="G93" s="16" t="n"/>
      <c r="H93" s="18" t="n"/>
      <c r="I93" s="19">
        <f>IF(ISNUMBER(H93),H93+3,"")</f>
        <v/>
      </c>
      <c r="J93" s="19">
        <f>IF(ISNUMBER(H93),H93+7,"")</f>
        <v/>
      </c>
      <c r="K93" s="19">
        <f>IF(ISNUMBER(H93),H93+14,"")</f>
        <v/>
      </c>
      <c r="L93" s="18" t="n"/>
      <c r="M93" s="17" t="n"/>
      <c r="N93" s="18" t="n"/>
      <c r="O93" s="20">
        <f>IF(OR(A93="",F93="Won",F93="Lost",F93="Not now"),"",IF(AND(ISNUMBER(N93),N93&lt;=TODAY()),"Due",IF(AND(F93="Messaged",ISNUMBER(H93),NOT(ISNUMBER(N93)),TODAY()-H93&gt;=3,TODAY()-H93&lt;=14),"Follow up","")))</f>
        <v/>
      </c>
      <c r="P93" s="21" t="n"/>
      <c r="Q93" s="16" t="n"/>
      <c r="R93" s="17" t="n"/>
    </row>
    <row r="94">
      <c r="A94" s="16" t="n"/>
      <c r="B94" s="16" t="n"/>
      <c r="C94" s="16" t="n"/>
      <c r="D94" s="16" t="n"/>
      <c r="E94" s="17" t="n"/>
      <c r="F94" s="16" t="n"/>
      <c r="G94" s="16" t="n"/>
      <c r="H94" s="18" t="n"/>
      <c r="I94" s="19">
        <f>IF(ISNUMBER(H94),H94+3,"")</f>
        <v/>
      </c>
      <c r="J94" s="19">
        <f>IF(ISNUMBER(H94),H94+7,"")</f>
        <v/>
      </c>
      <c r="K94" s="19">
        <f>IF(ISNUMBER(H94),H94+14,"")</f>
        <v/>
      </c>
      <c r="L94" s="18" t="n"/>
      <c r="M94" s="17" t="n"/>
      <c r="N94" s="18" t="n"/>
      <c r="O94" s="20">
        <f>IF(OR(A94="",F94="Won",F94="Lost",F94="Not now"),"",IF(AND(ISNUMBER(N94),N94&lt;=TODAY()),"Due",IF(AND(F94="Messaged",ISNUMBER(H94),NOT(ISNUMBER(N94)),TODAY()-H94&gt;=3,TODAY()-H94&lt;=14),"Follow up","")))</f>
        <v/>
      </c>
      <c r="P94" s="21" t="n"/>
      <c r="Q94" s="16" t="n"/>
      <c r="R94" s="17" t="n"/>
    </row>
    <row r="95">
      <c r="A95" s="16" t="n"/>
      <c r="B95" s="16" t="n"/>
      <c r="C95" s="16" t="n"/>
      <c r="D95" s="16" t="n"/>
      <c r="E95" s="17" t="n"/>
      <c r="F95" s="16" t="n"/>
      <c r="G95" s="16" t="n"/>
      <c r="H95" s="18" t="n"/>
      <c r="I95" s="19">
        <f>IF(ISNUMBER(H95),H95+3,"")</f>
        <v/>
      </c>
      <c r="J95" s="19">
        <f>IF(ISNUMBER(H95),H95+7,"")</f>
        <v/>
      </c>
      <c r="K95" s="19">
        <f>IF(ISNUMBER(H95),H95+14,"")</f>
        <v/>
      </c>
      <c r="L95" s="18" t="n"/>
      <c r="M95" s="17" t="n"/>
      <c r="N95" s="18" t="n"/>
      <c r="O95" s="20">
        <f>IF(OR(A95="",F95="Won",F95="Lost",F95="Not now"),"",IF(AND(ISNUMBER(N95),N95&lt;=TODAY()),"Due",IF(AND(F95="Messaged",ISNUMBER(H95),NOT(ISNUMBER(N95)),TODAY()-H95&gt;=3,TODAY()-H95&lt;=14),"Follow up","")))</f>
        <v/>
      </c>
      <c r="P95" s="21" t="n"/>
      <c r="Q95" s="16" t="n"/>
      <c r="R95" s="17" t="n"/>
    </row>
    <row r="96">
      <c r="A96" s="16" t="n"/>
      <c r="B96" s="16" t="n"/>
      <c r="C96" s="16" t="n"/>
      <c r="D96" s="16" t="n"/>
      <c r="E96" s="17" t="n"/>
      <c r="F96" s="16" t="n"/>
      <c r="G96" s="16" t="n"/>
      <c r="H96" s="18" t="n"/>
      <c r="I96" s="19">
        <f>IF(ISNUMBER(H96),H96+3,"")</f>
        <v/>
      </c>
      <c r="J96" s="19">
        <f>IF(ISNUMBER(H96),H96+7,"")</f>
        <v/>
      </c>
      <c r="K96" s="19">
        <f>IF(ISNUMBER(H96),H96+14,"")</f>
        <v/>
      </c>
      <c r="L96" s="18" t="n"/>
      <c r="M96" s="17" t="n"/>
      <c r="N96" s="18" t="n"/>
      <c r="O96" s="20">
        <f>IF(OR(A96="",F96="Won",F96="Lost",F96="Not now"),"",IF(AND(ISNUMBER(N96),N96&lt;=TODAY()),"Due",IF(AND(F96="Messaged",ISNUMBER(H96),NOT(ISNUMBER(N96)),TODAY()-H96&gt;=3,TODAY()-H96&lt;=14),"Follow up","")))</f>
        <v/>
      </c>
      <c r="P96" s="21" t="n"/>
      <c r="Q96" s="16" t="n"/>
      <c r="R96" s="17" t="n"/>
    </row>
    <row r="97">
      <c r="A97" s="16" t="n"/>
      <c r="B97" s="16" t="n"/>
      <c r="C97" s="16" t="n"/>
      <c r="D97" s="16" t="n"/>
      <c r="E97" s="17" t="n"/>
      <c r="F97" s="16" t="n"/>
      <c r="G97" s="16" t="n"/>
      <c r="H97" s="18" t="n"/>
      <c r="I97" s="19">
        <f>IF(ISNUMBER(H97),H97+3,"")</f>
        <v/>
      </c>
      <c r="J97" s="19">
        <f>IF(ISNUMBER(H97),H97+7,"")</f>
        <v/>
      </c>
      <c r="K97" s="19">
        <f>IF(ISNUMBER(H97),H97+14,"")</f>
        <v/>
      </c>
      <c r="L97" s="18" t="n"/>
      <c r="M97" s="17" t="n"/>
      <c r="N97" s="18" t="n"/>
      <c r="O97" s="20">
        <f>IF(OR(A97="",F97="Won",F97="Lost",F97="Not now"),"",IF(AND(ISNUMBER(N97),N97&lt;=TODAY()),"Due",IF(AND(F97="Messaged",ISNUMBER(H97),NOT(ISNUMBER(N97)),TODAY()-H97&gt;=3,TODAY()-H97&lt;=14),"Follow up","")))</f>
        <v/>
      </c>
      <c r="P97" s="21" t="n"/>
      <c r="Q97" s="16" t="n"/>
      <c r="R97" s="17" t="n"/>
    </row>
    <row r="98">
      <c r="A98" s="16" t="n"/>
      <c r="B98" s="16" t="n"/>
      <c r="C98" s="16" t="n"/>
      <c r="D98" s="16" t="n"/>
      <c r="E98" s="17" t="n"/>
      <c r="F98" s="16" t="n"/>
      <c r="G98" s="16" t="n"/>
      <c r="H98" s="18" t="n"/>
      <c r="I98" s="19">
        <f>IF(ISNUMBER(H98),H98+3,"")</f>
        <v/>
      </c>
      <c r="J98" s="19">
        <f>IF(ISNUMBER(H98),H98+7,"")</f>
        <v/>
      </c>
      <c r="K98" s="19">
        <f>IF(ISNUMBER(H98),H98+14,"")</f>
        <v/>
      </c>
      <c r="L98" s="18" t="n"/>
      <c r="M98" s="17" t="n"/>
      <c r="N98" s="18" t="n"/>
      <c r="O98" s="20">
        <f>IF(OR(A98="",F98="Won",F98="Lost",F98="Not now"),"",IF(AND(ISNUMBER(N98),N98&lt;=TODAY()),"Due",IF(AND(F98="Messaged",ISNUMBER(H98),NOT(ISNUMBER(N98)),TODAY()-H98&gt;=3,TODAY()-H98&lt;=14),"Follow up","")))</f>
        <v/>
      </c>
      <c r="P98" s="21" t="n"/>
      <c r="Q98" s="16" t="n"/>
      <c r="R98" s="17" t="n"/>
    </row>
    <row r="99">
      <c r="A99" s="16" t="n"/>
      <c r="B99" s="16" t="n"/>
      <c r="C99" s="16" t="n"/>
      <c r="D99" s="16" t="n"/>
      <c r="E99" s="17" t="n"/>
      <c r="F99" s="16" t="n"/>
      <c r="G99" s="16" t="n"/>
      <c r="H99" s="18" t="n"/>
      <c r="I99" s="19">
        <f>IF(ISNUMBER(H99),H99+3,"")</f>
        <v/>
      </c>
      <c r="J99" s="19">
        <f>IF(ISNUMBER(H99),H99+7,"")</f>
        <v/>
      </c>
      <c r="K99" s="19">
        <f>IF(ISNUMBER(H99),H99+14,"")</f>
        <v/>
      </c>
      <c r="L99" s="18" t="n"/>
      <c r="M99" s="17" t="n"/>
      <c r="N99" s="18" t="n"/>
      <c r="O99" s="20">
        <f>IF(OR(A99="",F99="Won",F99="Lost",F99="Not now"),"",IF(AND(ISNUMBER(N99),N99&lt;=TODAY()),"Due",IF(AND(F99="Messaged",ISNUMBER(H99),NOT(ISNUMBER(N99)),TODAY()-H99&gt;=3,TODAY()-H99&lt;=14),"Follow up","")))</f>
        <v/>
      </c>
      <c r="P99" s="21" t="n"/>
      <c r="Q99" s="16" t="n"/>
      <c r="R99" s="17" t="n"/>
    </row>
    <row r="100">
      <c r="A100" s="16" t="n"/>
      <c r="B100" s="16" t="n"/>
      <c r="C100" s="16" t="n"/>
      <c r="D100" s="16" t="n"/>
      <c r="E100" s="17" t="n"/>
      <c r="F100" s="16" t="n"/>
      <c r="G100" s="16" t="n"/>
      <c r="H100" s="18" t="n"/>
      <c r="I100" s="19">
        <f>IF(ISNUMBER(H100),H100+3,"")</f>
        <v/>
      </c>
      <c r="J100" s="19">
        <f>IF(ISNUMBER(H100),H100+7,"")</f>
        <v/>
      </c>
      <c r="K100" s="19">
        <f>IF(ISNUMBER(H100),H100+14,"")</f>
        <v/>
      </c>
      <c r="L100" s="18" t="n"/>
      <c r="M100" s="17" t="n"/>
      <c r="N100" s="18" t="n"/>
      <c r="O100" s="20">
        <f>IF(OR(A100="",F100="Won",F100="Lost",F100="Not now"),"",IF(AND(ISNUMBER(N100),N100&lt;=TODAY()),"Due",IF(AND(F100="Messaged",ISNUMBER(H100),NOT(ISNUMBER(N100)),TODAY()-H100&gt;=3,TODAY()-H100&lt;=14),"Follow up","")))</f>
        <v/>
      </c>
      <c r="P100" s="21" t="n"/>
      <c r="Q100" s="16" t="n"/>
      <c r="R100" s="17" t="n"/>
    </row>
    <row r="101">
      <c r="A101" s="16" t="n"/>
      <c r="B101" s="16" t="n"/>
      <c r="C101" s="16" t="n"/>
      <c r="D101" s="16" t="n"/>
      <c r="E101" s="17" t="n"/>
      <c r="F101" s="16" t="n"/>
      <c r="G101" s="16" t="n"/>
      <c r="H101" s="18" t="n"/>
      <c r="I101" s="19">
        <f>IF(ISNUMBER(H101),H101+3,"")</f>
        <v/>
      </c>
      <c r="J101" s="19">
        <f>IF(ISNUMBER(H101),H101+7,"")</f>
        <v/>
      </c>
      <c r="K101" s="19">
        <f>IF(ISNUMBER(H101),H101+14,"")</f>
        <v/>
      </c>
      <c r="L101" s="18" t="n"/>
      <c r="M101" s="17" t="n"/>
      <c r="N101" s="18" t="n"/>
      <c r="O101" s="20">
        <f>IF(OR(A101="",F101="Won",F101="Lost",F101="Not now"),"",IF(AND(ISNUMBER(N101),N101&lt;=TODAY()),"Due",IF(AND(F101="Messaged",ISNUMBER(H101),NOT(ISNUMBER(N101)),TODAY()-H101&gt;=3,TODAY()-H101&lt;=14),"Follow up","")))</f>
        <v/>
      </c>
      <c r="P101" s="21" t="n"/>
      <c r="Q101" s="16" t="n"/>
      <c r="R101" s="17" t="n"/>
    </row>
    <row r="102">
      <c r="A102" s="16" t="n"/>
      <c r="B102" s="16" t="n"/>
      <c r="C102" s="16" t="n"/>
      <c r="D102" s="16" t="n"/>
      <c r="E102" s="17" t="n"/>
      <c r="F102" s="16" t="n"/>
      <c r="G102" s="16" t="n"/>
      <c r="H102" s="18" t="n"/>
      <c r="I102" s="19">
        <f>IF(ISNUMBER(H102),H102+3,"")</f>
        <v/>
      </c>
      <c r="J102" s="19">
        <f>IF(ISNUMBER(H102),H102+7,"")</f>
        <v/>
      </c>
      <c r="K102" s="19">
        <f>IF(ISNUMBER(H102),H102+14,"")</f>
        <v/>
      </c>
      <c r="L102" s="18" t="n"/>
      <c r="M102" s="17" t="n"/>
      <c r="N102" s="18" t="n"/>
      <c r="O102" s="20">
        <f>IF(OR(A102="",F102="Won",F102="Lost",F102="Not now"),"",IF(AND(ISNUMBER(N102),N102&lt;=TODAY()),"Due",IF(AND(F102="Messaged",ISNUMBER(H102),NOT(ISNUMBER(N102)),TODAY()-H102&gt;=3,TODAY()-H102&lt;=14),"Follow up","")))</f>
        <v/>
      </c>
      <c r="P102" s="21" t="n"/>
      <c r="Q102" s="16" t="n"/>
      <c r="R102" s="17" t="n"/>
    </row>
    <row r="103">
      <c r="A103" s="16" t="n"/>
      <c r="B103" s="16" t="n"/>
      <c r="C103" s="16" t="n"/>
      <c r="D103" s="16" t="n"/>
      <c r="E103" s="17" t="n"/>
      <c r="F103" s="16" t="n"/>
      <c r="G103" s="16" t="n"/>
      <c r="H103" s="18" t="n"/>
      <c r="I103" s="19">
        <f>IF(ISNUMBER(H103),H103+3,"")</f>
        <v/>
      </c>
      <c r="J103" s="19">
        <f>IF(ISNUMBER(H103),H103+7,"")</f>
        <v/>
      </c>
      <c r="K103" s="19">
        <f>IF(ISNUMBER(H103),H103+14,"")</f>
        <v/>
      </c>
      <c r="L103" s="18" t="n"/>
      <c r="M103" s="17" t="n"/>
      <c r="N103" s="18" t="n"/>
      <c r="O103" s="20">
        <f>IF(OR(A103="",F103="Won",F103="Lost",F103="Not now"),"",IF(AND(ISNUMBER(N103),N103&lt;=TODAY()),"Due",IF(AND(F103="Messaged",ISNUMBER(H103),NOT(ISNUMBER(N103)),TODAY()-H103&gt;=3,TODAY()-H103&lt;=14),"Follow up","")))</f>
        <v/>
      </c>
      <c r="P103" s="21" t="n"/>
      <c r="Q103" s="16" t="n"/>
      <c r="R103" s="17" t="n"/>
    </row>
    <row r="104">
      <c r="A104" s="16" t="n"/>
      <c r="B104" s="16" t="n"/>
      <c r="C104" s="16" t="n"/>
      <c r="D104" s="16" t="n"/>
      <c r="E104" s="17" t="n"/>
      <c r="F104" s="16" t="n"/>
      <c r="G104" s="16" t="n"/>
      <c r="H104" s="18" t="n"/>
      <c r="I104" s="19">
        <f>IF(ISNUMBER(H104),H104+3,"")</f>
        <v/>
      </c>
      <c r="J104" s="19">
        <f>IF(ISNUMBER(H104),H104+7,"")</f>
        <v/>
      </c>
      <c r="K104" s="19">
        <f>IF(ISNUMBER(H104),H104+14,"")</f>
        <v/>
      </c>
      <c r="L104" s="18" t="n"/>
      <c r="M104" s="17" t="n"/>
      <c r="N104" s="18" t="n"/>
      <c r="O104" s="20">
        <f>IF(OR(A104="",F104="Won",F104="Lost",F104="Not now"),"",IF(AND(ISNUMBER(N104),N104&lt;=TODAY()),"Due",IF(AND(F104="Messaged",ISNUMBER(H104),NOT(ISNUMBER(N104)),TODAY()-H104&gt;=3,TODAY()-H104&lt;=14),"Follow up","")))</f>
        <v/>
      </c>
      <c r="P104" s="21" t="n"/>
      <c r="Q104" s="16" t="n"/>
      <c r="R104" s="17" t="n"/>
    </row>
    <row r="105">
      <c r="A105" s="16" t="n"/>
      <c r="B105" s="16" t="n"/>
      <c r="C105" s="16" t="n"/>
      <c r="D105" s="16" t="n"/>
      <c r="E105" s="17" t="n"/>
      <c r="F105" s="16" t="n"/>
      <c r="G105" s="16" t="n"/>
      <c r="H105" s="18" t="n"/>
      <c r="I105" s="19">
        <f>IF(ISNUMBER(H105),H105+3,"")</f>
        <v/>
      </c>
      <c r="J105" s="19">
        <f>IF(ISNUMBER(H105),H105+7,"")</f>
        <v/>
      </c>
      <c r="K105" s="19">
        <f>IF(ISNUMBER(H105),H105+14,"")</f>
        <v/>
      </c>
      <c r="L105" s="18" t="n"/>
      <c r="M105" s="17" t="n"/>
      <c r="N105" s="18" t="n"/>
      <c r="O105" s="20">
        <f>IF(OR(A105="",F105="Won",F105="Lost",F105="Not now"),"",IF(AND(ISNUMBER(N105),N105&lt;=TODAY()),"Due",IF(AND(F105="Messaged",ISNUMBER(H105),NOT(ISNUMBER(N105)),TODAY()-H105&gt;=3,TODAY()-H105&lt;=14),"Follow up","")))</f>
        <v/>
      </c>
      <c r="P105" s="21" t="n"/>
      <c r="Q105" s="16" t="n"/>
      <c r="R105" s="17" t="n"/>
    </row>
    <row r="106">
      <c r="A106" s="16" t="n"/>
      <c r="B106" s="16" t="n"/>
      <c r="C106" s="16" t="n"/>
      <c r="D106" s="16" t="n"/>
      <c r="E106" s="17" t="n"/>
      <c r="F106" s="16" t="n"/>
      <c r="G106" s="16" t="n"/>
      <c r="H106" s="18" t="n"/>
      <c r="I106" s="19">
        <f>IF(ISNUMBER(H106),H106+3,"")</f>
        <v/>
      </c>
      <c r="J106" s="19">
        <f>IF(ISNUMBER(H106),H106+7,"")</f>
        <v/>
      </c>
      <c r="K106" s="19">
        <f>IF(ISNUMBER(H106),H106+14,"")</f>
        <v/>
      </c>
      <c r="L106" s="18" t="n"/>
      <c r="M106" s="17" t="n"/>
      <c r="N106" s="18" t="n"/>
      <c r="O106" s="20">
        <f>IF(OR(A106="",F106="Won",F106="Lost",F106="Not now"),"",IF(AND(ISNUMBER(N106),N106&lt;=TODAY()),"Due",IF(AND(F106="Messaged",ISNUMBER(H106),NOT(ISNUMBER(N106)),TODAY()-H106&gt;=3,TODAY()-H106&lt;=14),"Follow up","")))</f>
        <v/>
      </c>
      <c r="P106" s="21" t="n"/>
      <c r="Q106" s="16" t="n"/>
      <c r="R106" s="17" t="n"/>
    </row>
    <row r="107">
      <c r="A107" s="16" t="n"/>
      <c r="B107" s="16" t="n"/>
      <c r="C107" s="16" t="n"/>
      <c r="D107" s="16" t="n"/>
      <c r="E107" s="17" t="n"/>
      <c r="F107" s="16" t="n"/>
      <c r="G107" s="16" t="n"/>
      <c r="H107" s="18" t="n"/>
      <c r="I107" s="19">
        <f>IF(ISNUMBER(H107),H107+3,"")</f>
        <v/>
      </c>
      <c r="J107" s="19">
        <f>IF(ISNUMBER(H107),H107+7,"")</f>
        <v/>
      </c>
      <c r="K107" s="19">
        <f>IF(ISNUMBER(H107),H107+14,"")</f>
        <v/>
      </c>
      <c r="L107" s="18" t="n"/>
      <c r="M107" s="17" t="n"/>
      <c r="N107" s="18" t="n"/>
      <c r="O107" s="20">
        <f>IF(OR(A107="",F107="Won",F107="Lost",F107="Not now"),"",IF(AND(ISNUMBER(N107),N107&lt;=TODAY()),"Due",IF(AND(F107="Messaged",ISNUMBER(H107),NOT(ISNUMBER(N107)),TODAY()-H107&gt;=3,TODAY()-H107&lt;=14),"Follow up","")))</f>
        <v/>
      </c>
      <c r="P107" s="21" t="n"/>
      <c r="Q107" s="16" t="n"/>
      <c r="R107" s="17" t="n"/>
    </row>
    <row r="108">
      <c r="A108" s="16" t="n"/>
      <c r="B108" s="16" t="n"/>
      <c r="C108" s="16" t="n"/>
      <c r="D108" s="16" t="n"/>
      <c r="E108" s="17" t="n"/>
      <c r="F108" s="16" t="n"/>
      <c r="G108" s="16" t="n"/>
      <c r="H108" s="18" t="n"/>
      <c r="I108" s="19">
        <f>IF(ISNUMBER(H108),H108+3,"")</f>
        <v/>
      </c>
      <c r="J108" s="19">
        <f>IF(ISNUMBER(H108),H108+7,"")</f>
        <v/>
      </c>
      <c r="K108" s="19">
        <f>IF(ISNUMBER(H108),H108+14,"")</f>
        <v/>
      </c>
      <c r="L108" s="18" t="n"/>
      <c r="M108" s="17" t="n"/>
      <c r="N108" s="18" t="n"/>
      <c r="O108" s="20">
        <f>IF(OR(A108="",F108="Won",F108="Lost",F108="Not now"),"",IF(AND(ISNUMBER(N108),N108&lt;=TODAY()),"Due",IF(AND(F108="Messaged",ISNUMBER(H108),NOT(ISNUMBER(N108)),TODAY()-H108&gt;=3,TODAY()-H108&lt;=14),"Follow up","")))</f>
        <v/>
      </c>
      <c r="P108" s="21" t="n"/>
      <c r="Q108" s="16" t="n"/>
      <c r="R108" s="17" t="n"/>
    </row>
    <row r="109">
      <c r="A109" s="16" t="n"/>
      <c r="B109" s="16" t="n"/>
      <c r="C109" s="16" t="n"/>
      <c r="D109" s="16" t="n"/>
      <c r="E109" s="17" t="n"/>
      <c r="F109" s="16" t="n"/>
      <c r="G109" s="16" t="n"/>
      <c r="H109" s="18" t="n"/>
      <c r="I109" s="19">
        <f>IF(ISNUMBER(H109),H109+3,"")</f>
        <v/>
      </c>
      <c r="J109" s="19">
        <f>IF(ISNUMBER(H109),H109+7,"")</f>
        <v/>
      </c>
      <c r="K109" s="19">
        <f>IF(ISNUMBER(H109),H109+14,"")</f>
        <v/>
      </c>
      <c r="L109" s="18" t="n"/>
      <c r="M109" s="17" t="n"/>
      <c r="N109" s="18" t="n"/>
      <c r="O109" s="20">
        <f>IF(OR(A109="",F109="Won",F109="Lost",F109="Not now"),"",IF(AND(ISNUMBER(N109),N109&lt;=TODAY()),"Due",IF(AND(F109="Messaged",ISNUMBER(H109),NOT(ISNUMBER(N109)),TODAY()-H109&gt;=3,TODAY()-H109&lt;=14),"Follow up","")))</f>
        <v/>
      </c>
      <c r="P109" s="21" t="n"/>
      <c r="Q109" s="16" t="n"/>
      <c r="R109" s="17" t="n"/>
    </row>
    <row r="110">
      <c r="A110" s="16" t="n"/>
      <c r="B110" s="16" t="n"/>
      <c r="C110" s="16" t="n"/>
      <c r="D110" s="16" t="n"/>
      <c r="E110" s="17" t="n"/>
      <c r="F110" s="16" t="n"/>
      <c r="G110" s="16" t="n"/>
      <c r="H110" s="18" t="n"/>
      <c r="I110" s="19">
        <f>IF(ISNUMBER(H110),H110+3,"")</f>
        <v/>
      </c>
      <c r="J110" s="19">
        <f>IF(ISNUMBER(H110),H110+7,"")</f>
        <v/>
      </c>
      <c r="K110" s="19">
        <f>IF(ISNUMBER(H110),H110+14,"")</f>
        <v/>
      </c>
      <c r="L110" s="18" t="n"/>
      <c r="M110" s="17" t="n"/>
      <c r="N110" s="18" t="n"/>
      <c r="O110" s="20">
        <f>IF(OR(A110="",F110="Won",F110="Lost",F110="Not now"),"",IF(AND(ISNUMBER(N110),N110&lt;=TODAY()),"Due",IF(AND(F110="Messaged",ISNUMBER(H110),NOT(ISNUMBER(N110)),TODAY()-H110&gt;=3,TODAY()-H110&lt;=14),"Follow up","")))</f>
        <v/>
      </c>
      <c r="P110" s="21" t="n"/>
      <c r="Q110" s="16" t="n"/>
      <c r="R110" s="17" t="n"/>
    </row>
    <row r="111">
      <c r="A111" s="16" t="n"/>
      <c r="B111" s="16" t="n"/>
      <c r="C111" s="16" t="n"/>
      <c r="D111" s="16" t="n"/>
      <c r="E111" s="17" t="n"/>
      <c r="F111" s="16" t="n"/>
      <c r="G111" s="16" t="n"/>
      <c r="H111" s="18" t="n"/>
      <c r="I111" s="19">
        <f>IF(ISNUMBER(H111),H111+3,"")</f>
        <v/>
      </c>
      <c r="J111" s="19">
        <f>IF(ISNUMBER(H111),H111+7,"")</f>
        <v/>
      </c>
      <c r="K111" s="19">
        <f>IF(ISNUMBER(H111),H111+14,"")</f>
        <v/>
      </c>
      <c r="L111" s="18" t="n"/>
      <c r="M111" s="17" t="n"/>
      <c r="N111" s="18" t="n"/>
      <c r="O111" s="20">
        <f>IF(OR(A111="",F111="Won",F111="Lost",F111="Not now"),"",IF(AND(ISNUMBER(N111),N111&lt;=TODAY()),"Due",IF(AND(F111="Messaged",ISNUMBER(H111),NOT(ISNUMBER(N111)),TODAY()-H111&gt;=3,TODAY()-H111&lt;=14),"Follow up","")))</f>
        <v/>
      </c>
      <c r="P111" s="21" t="n"/>
      <c r="Q111" s="16" t="n"/>
      <c r="R111" s="17" t="n"/>
    </row>
    <row r="112">
      <c r="A112" s="16" t="n"/>
      <c r="B112" s="16" t="n"/>
      <c r="C112" s="16" t="n"/>
      <c r="D112" s="16" t="n"/>
      <c r="E112" s="17" t="n"/>
      <c r="F112" s="16" t="n"/>
      <c r="G112" s="16" t="n"/>
      <c r="H112" s="18" t="n"/>
      <c r="I112" s="19">
        <f>IF(ISNUMBER(H112),H112+3,"")</f>
        <v/>
      </c>
      <c r="J112" s="19">
        <f>IF(ISNUMBER(H112),H112+7,"")</f>
        <v/>
      </c>
      <c r="K112" s="19">
        <f>IF(ISNUMBER(H112),H112+14,"")</f>
        <v/>
      </c>
      <c r="L112" s="18" t="n"/>
      <c r="M112" s="17" t="n"/>
      <c r="N112" s="18" t="n"/>
      <c r="O112" s="20">
        <f>IF(OR(A112="",F112="Won",F112="Lost",F112="Not now"),"",IF(AND(ISNUMBER(N112),N112&lt;=TODAY()),"Due",IF(AND(F112="Messaged",ISNUMBER(H112),NOT(ISNUMBER(N112)),TODAY()-H112&gt;=3,TODAY()-H112&lt;=14),"Follow up","")))</f>
        <v/>
      </c>
      <c r="P112" s="21" t="n"/>
      <c r="Q112" s="16" t="n"/>
      <c r="R112" s="17" t="n"/>
    </row>
    <row r="113">
      <c r="A113" s="16" t="n"/>
      <c r="B113" s="16" t="n"/>
      <c r="C113" s="16" t="n"/>
      <c r="D113" s="16" t="n"/>
      <c r="E113" s="17" t="n"/>
      <c r="F113" s="16" t="n"/>
      <c r="G113" s="16" t="n"/>
      <c r="H113" s="18" t="n"/>
      <c r="I113" s="19">
        <f>IF(ISNUMBER(H113),H113+3,"")</f>
        <v/>
      </c>
      <c r="J113" s="19">
        <f>IF(ISNUMBER(H113),H113+7,"")</f>
        <v/>
      </c>
      <c r="K113" s="19">
        <f>IF(ISNUMBER(H113),H113+14,"")</f>
        <v/>
      </c>
      <c r="L113" s="18" t="n"/>
      <c r="M113" s="17" t="n"/>
      <c r="N113" s="18" t="n"/>
      <c r="O113" s="20">
        <f>IF(OR(A113="",F113="Won",F113="Lost",F113="Not now"),"",IF(AND(ISNUMBER(N113),N113&lt;=TODAY()),"Due",IF(AND(F113="Messaged",ISNUMBER(H113),NOT(ISNUMBER(N113)),TODAY()-H113&gt;=3,TODAY()-H113&lt;=14),"Follow up","")))</f>
        <v/>
      </c>
      <c r="P113" s="21" t="n"/>
      <c r="Q113" s="16" t="n"/>
      <c r="R113" s="17" t="n"/>
    </row>
    <row r="114">
      <c r="A114" s="16" t="n"/>
      <c r="B114" s="16" t="n"/>
      <c r="C114" s="16" t="n"/>
      <c r="D114" s="16" t="n"/>
      <c r="E114" s="17" t="n"/>
      <c r="F114" s="16" t="n"/>
      <c r="G114" s="16" t="n"/>
      <c r="H114" s="18" t="n"/>
      <c r="I114" s="19">
        <f>IF(ISNUMBER(H114),H114+3,"")</f>
        <v/>
      </c>
      <c r="J114" s="19">
        <f>IF(ISNUMBER(H114),H114+7,"")</f>
        <v/>
      </c>
      <c r="K114" s="19">
        <f>IF(ISNUMBER(H114),H114+14,"")</f>
        <v/>
      </c>
      <c r="L114" s="18" t="n"/>
      <c r="M114" s="17" t="n"/>
      <c r="N114" s="18" t="n"/>
      <c r="O114" s="20">
        <f>IF(OR(A114="",F114="Won",F114="Lost",F114="Not now"),"",IF(AND(ISNUMBER(N114),N114&lt;=TODAY()),"Due",IF(AND(F114="Messaged",ISNUMBER(H114),NOT(ISNUMBER(N114)),TODAY()-H114&gt;=3,TODAY()-H114&lt;=14),"Follow up","")))</f>
        <v/>
      </c>
      <c r="P114" s="21" t="n"/>
      <c r="Q114" s="16" t="n"/>
      <c r="R114" s="17" t="n"/>
    </row>
    <row r="115">
      <c r="A115" s="16" t="n"/>
      <c r="B115" s="16" t="n"/>
      <c r="C115" s="16" t="n"/>
      <c r="D115" s="16" t="n"/>
      <c r="E115" s="17" t="n"/>
      <c r="F115" s="16" t="n"/>
      <c r="G115" s="16" t="n"/>
      <c r="H115" s="18" t="n"/>
      <c r="I115" s="19">
        <f>IF(ISNUMBER(H115),H115+3,"")</f>
        <v/>
      </c>
      <c r="J115" s="19">
        <f>IF(ISNUMBER(H115),H115+7,"")</f>
        <v/>
      </c>
      <c r="K115" s="19">
        <f>IF(ISNUMBER(H115),H115+14,"")</f>
        <v/>
      </c>
      <c r="L115" s="18" t="n"/>
      <c r="M115" s="17" t="n"/>
      <c r="N115" s="18" t="n"/>
      <c r="O115" s="20">
        <f>IF(OR(A115="",F115="Won",F115="Lost",F115="Not now"),"",IF(AND(ISNUMBER(N115),N115&lt;=TODAY()),"Due",IF(AND(F115="Messaged",ISNUMBER(H115),NOT(ISNUMBER(N115)),TODAY()-H115&gt;=3,TODAY()-H115&lt;=14),"Follow up","")))</f>
        <v/>
      </c>
      <c r="P115" s="21" t="n"/>
      <c r="Q115" s="16" t="n"/>
      <c r="R115" s="17" t="n"/>
    </row>
    <row r="116">
      <c r="A116" s="16" t="n"/>
      <c r="B116" s="16" t="n"/>
      <c r="C116" s="16" t="n"/>
      <c r="D116" s="16" t="n"/>
      <c r="E116" s="17" t="n"/>
      <c r="F116" s="16" t="n"/>
      <c r="G116" s="16" t="n"/>
      <c r="H116" s="18" t="n"/>
      <c r="I116" s="19">
        <f>IF(ISNUMBER(H116),H116+3,"")</f>
        <v/>
      </c>
      <c r="J116" s="19">
        <f>IF(ISNUMBER(H116),H116+7,"")</f>
        <v/>
      </c>
      <c r="K116" s="19">
        <f>IF(ISNUMBER(H116),H116+14,"")</f>
        <v/>
      </c>
      <c r="L116" s="18" t="n"/>
      <c r="M116" s="17" t="n"/>
      <c r="N116" s="18" t="n"/>
      <c r="O116" s="20">
        <f>IF(OR(A116="",F116="Won",F116="Lost",F116="Not now"),"",IF(AND(ISNUMBER(N116),N116&lt;=TODAY()),"Due",IF(AND(F116="Messaged",ISNUMBER(H116),NOT(ISNUMBER(N116)),TODAY()-H116&gt;=3,TODAY()-H116&lt;=14),"Follow up","")))</f>
        <v/>
      </c>
      <c r="P116" s="21" t="n"/>
      <c r="Q116" s="16" t="n"/>
      <c r="R116" s="17" t="n"/>
    </row>
    <row r="117">
      <c r="A117" s="16" t="n"/>
      <c r="B117" s="16" t="n"/>
      <c r="C117" s="16" t="n"/>
      <c r="D117" s="16" t="n"/>
      <c r="E117" s="17" t="n"/>
      <c r="F117" s="16" t="n"/>
      <c r="G117" s="16" t="n"/>
      <c r="H117" s="18" t="n"/>
      <c r="I117" s="19">
        <f>IF(ISNUMBER(H117),H117+3,"")</f>
        <v/>
      </c>
      <c r="J117" s="19">
        <f>IF(ISNUMBER(H117),H117+7,"")</f>
        <v/>
      </c>
      <c r="K117" s="19">
        <f>IF(ISNUMBER(H117),H117+14,"")</f>
        <v/>
      </c>
      <c r="L117" s="18" t="n"/>
      <c r="M117" s="17" t="n"/>
      <c r="N117" s="18" t="n"/>
      <c r="O117" s="20">
        <f>IF(OR(A117="",F117="Won",F117="Lost",F117="Not now"),"",IF(AND(ISNUMBER(N117),N117&lt;=TODAY()),"Due",IF(AND(F117="Messaged",ISNUMBER(H117),NOT(ISNUMBER(N117)),TODAY()-H117&gt;=3,TODAY()-H117&lt;=14),"Follow up","")))</f>
        <v/>
      </c>
      <c r="P117" s="21" t="n"/>
      <c r="Q117" s="16" t="n"/>
      <c r="R117" s="17" t="n"/>
    </row>
    <row r="118">
      <c r="A118" s="16" t="n"/>
      <c r="B118" s="16" t="n"/>
      <c r="C118" s="16" t="n"/>
      <c r="D118" s="16" t="n"/>
      <c r="E118" s="17" t="n"/>
      <c r="F118" s="16" t="n"/>
      <c r="G118" s="16" t="n"/>
      <c r="H118" s="18" t="n"/>
      <c r="I118" s="19">
        <f>IF(ISNUMBER(H118),H118+3,"")</f>
        <v/>
      </c>
      <c r="J118" s="19">
        <f>IF(ISNUMBER(H118),H118+7,"")</f>
        <v/>
      </c>
      <c r="K118" s="19">
        <f>IF(ISNUMBER(H118),H118+14,"")</f>
        <v/>
      </c>
      <c r="L118" s="18" t="n"/>
      <c r="M118" s="17" t="n"/>
      <c r="N118" s="18" t="n"/>
      <c r="O118" s="20">
        <f>IF(OR(A118="",F118="Won",F118="Lost",F118="Not now"),"",IF(AND(ISNUMBER(N118),N118&lt;=TODAY()),"Due",IF(AND(F118="Messaged",ISNUMBER(H118),NOT(ISNUMBER(N118)),TODAY()-H118&gt;=3,TODAY()-H118&lt;=14),"Follow up","")))</f>
        <v/>
      </c>
      <c r="P118" s="21" t="n"/>
      <c r="Q118" s="16" t="n"/>
      <c r="R118" s="17" t="n"/>
    </row>
    <row r="119">
      <c r="A119" s="16" t="n"/>
      <c r="B119" s="16" t="n"/>
      <c r="C119" s="16" t="n"/>
      <c r="D119" s="16" t="n"/>
      <c r="E119" s="17" t="n"/>
      <c r="F119" s="16" t="n"/>
      <c r="G119" s="16" t="n"/>
      <c r="H119" s="18" t="n"/>
      <c r="I119" s="19">
        <f>IF(ISNUMBER(H119),H119+3,"")</f>
        <v/>
      </c>
      <c r="J119" s="19">
        <f>IF(ISNUMBER(H119),H119+7,"")</f>
        <v/>
      </c>
      <c r="K119" s="19">
        <f>IF(ISNUMBER(H119),H119+14,"")</f>
        <v/>
      </c>
      <c r="L119" s="18" t="n"/>
      <c r="M119" s="17" t="n"/>
      <c r="N119" s="18" t="n"/>
      <c r="O119" s="20">
        <f>IF(OR(A119="",F119="Won",F119="Lost",F119="Not now"),"",IF(AND(ISNUMBER(N119),N119&lt;=TODAY()),"Due",IF(AND(F119="Messaged",ISNUMBER(H119),NOT(ISNUMBER(N119)),TODAY()-H119&gt;=3,TODAY()-H119&lt;=14),"Follow up","")))</f>
        <v/>
      </c>
      <c r="P119" s="21" t="n"/>
      <c r="Q119" s="16" t="n"/>
      <c r="R119" s="17" t="n"/>
    </row>
    <row r="120">
      <c r="A120" s="16" t="n"/>
      <c r="B120" s="16" t="n"/>
      <c r="C120" s="16" t="n"/>
      <c r="D120" s="16" t="n"/>
      <c r="E120" s="17" t="n"/>
      <c r="F120" s="16" t="n"/>
      <c r="G120" s="16" t="n"/>
      <c r="H120" s="18" t="n"/>
      <c r="I120" s="19">
        <f>IF(ISNUMBER(H120),H120+3,"")</f>
        <v/>
      </c>
      <c r="J120" s="19">
        <f>IF(ISNUMBER(H120),H120+7,"")</f>
        <v/>
      </c>
      <c r="K120" s="19">
        <f>IF(ISNUMBER(H120),H120+14,"")</f>
        <v/>
      </c>
      <c r="L120" s="18" t="n"/>
      <c r="M120" s="17" t="n"/>
      <c r="N120" s="18" t="n"/>
      <c r="O120" s="20">
        <f>IF(OR(A120="",F120="Won",F120="Lost",F120="Not now"),"",IF(AND(ISNUMBER(N120),N120&lt;=TODAY()),"Due",IF(AND(F120="Messaged",ISNUMBER(H120),NOT(ISNUMBER(N120)),TODAY()-H120&gt;=3,TODAY()-H120&lt;=14),"Follow up","")))</f>
        <v/>
      </c>
      <c r="P120" s="21" t="n"/>
      <c r="Q120" s="16" t="n"/>
      <c r="R120" s="17" t="n"/>
    </row>
    <row r="121">
      <c r="A121" s="16" t="n"/>
      <c r="B121" s="16" t="n"/>
      <c r="C121" s="16" t="n"/>
      <c r="D121" s="16" t="n"/>
      <c r="E121" s="17" t="n"/>
      <c r="F121" s="16" t="n"/>
      <c r="G121" s="16" t="n"/>
      <c r="H121" s="18" t="n"/>
      <c r="I121" s="19">
        <f>IF(ISNUMBER(H121),H121+3,"")</f>
        <v/>
      </c>
      <c r="J121" s="19">
        <f>IF(ISNUMBER(H121),H121+7,"")</f>
        <v/>
      </c>
      <c r="K121" s="19">
        <f>IF(ISNUMBER(H121),H121+14,"")</f>
        <v/>
      </c>
      <c r="L121" s="18" t="n"/>
      <c r="M121" s="17" t="n"/>
      <c r="N121" s="18" t="n"/>
      <c r="O121" s="20">
        <f>IF(OR(A121="",F121="Won",F121="Lost",F121="Not now"),"",IF(AND(ISNUMBER(N121),N121&lt;=TODAY()),"Due",IF(AND(F121="Messaged",ISNUMBER(H121),NOT(ISNUMBER(N121)),TODAY()-H121&gt;=3,TODAY()-H121&lt;=14),"Follow up","")))</f>
        <v/>
      </c>
      <c r="P121" s="21" t="n"/>
      <c r="Q121" s="16" t="n"/>
      <c r="R121" s="17" t="n"/>
    </row>
    <row r="122">
      <c r="A122" s="16" t="n"/>
      <c r="B122" s="16" t="n"/>
      <c r="C122" s="16" t="n"/>
      <c r="D122" s="16" t="n"/>
      <c r="E122" s="17" t="n"/>
      <c r="F122" s="16" t="n"/>
      <c r="G122" s="16" t="n"/>
      <c r="H122" s="18" t="n"/>
      <c r="I122" s="19">
        <f>IF(ISNUMBER(H122),H122+3,"")</f>
        <v/>
      </c>
      <c r="J122" s="19">
        <f>IF(ISNUMBER(H122),H122+7,"")</f>
        <v/>
      </c>
      <c r="K122" s="19">
        <f>IF(ISNUMBER(H122),H122+14,"")</f>
        <v/>
      </c>
      <c r="L122" s="18" t="n"/>
      <c r="M122" s="17" t="n"/>
      <c r="N122" s="18" t="n"/>
      <c r="O122" s="20">
        <f>IF(OR(A122="",F122="Won",F122="Lost",F122="Not now"),"",IF(AND(ISNUMBER(N122),N122&lt;=TODAY()),"Due",IF(AND(F122="Messaged",ISNUMBER(H122),NOT(ISNUMBER(N122)),TODAY()-H122&gt;=3,TODAY()-H122&lt;=14),"Follow up","")))</f>
        <v/>
      </c>
      <c r="P122" s="21" t="n"/>
      <c r="Q122" s="16" t="n"/>
      <c r="R122" s="17" t="n"/>
    </row>
    <row r="123">
      <c r="A123" s="16" t="n"/>
      <c r="B123" s="16" t="n"/>
      <c r="C123" s="16" t="n"/>
      <c r="D123" s="16" t="n"/>
      <c r="E123" s="17" t="n"/>
      <c r="F123" s="16" t="n"/>
      <c r="G123" s="16" t="n"/>
      <c r="H123" s="18" t="n"/>
      <c r="I123" s="19">
        <f>IF(ISNUMBER(H123),H123+3,"")</f>
        <v/>
      </c>
      <c r="J123" s="19">
        <f>IF(ISNUMBER(H123),H123+7,"")</f>
        <v/>
      </c>
      <c r="K123" s="19">
        <f>IF(ISNUMBER(H123),H123+14,"")</f>
        <v/>
      </c>
      <c r="L123" s="18" t="n"/>
      <c r="M123" s="17" t="n"/>
      <c r="N123" s="18" t="n"/>
      <c r="O123" s="20">
        <f>IF(OR(A123="",F123="Won",F123="Lost",F123="Not now"),"",IF(AND(ISNUMBER(N123),N123&lt;=TODAY()),"Due",IF(AND(F123="Messaged",ISNUMBER(H123),NOT(ISNUMBER(N123)),TODAY()-H123&gt;=3,TODAY()-H123&lt;=14),"Follow up","")))</f>
        <v/>
      </c>
      <c r="P123" s="21" t="n"/>
      <c r="Q123" s="16" t="n"/>
      <c r="R123" s="17" t="n"/>
    </row>
    <row r="124">
      <c r="A124" s="16" t="n"/>
      <c r="B124" s="16" t="n"/>
      <c r="C124" s="16" t="n"/>
      <c r="D124" s="16" t="n"/>
      <c r="E124" s="17" t="n"/>
      <c r="F124" s="16" t="n"/>
      <c r="G124" s="16" t="n"/>
      <c r="H124" s="18" t="n"/>
      <c r="I124" s="19">
        <f>IF(ISNUMBER(H124),H124+3,"")</f>
        <v/>
      </c>
      <c r="J124" s="19">
        <f>IF(ISNUMBER(H124),H124+7,"")</f>
        <v/>
      </c>
      <c r="K124" s="19">
        <f>IF(ISNUMBER(H124),H124+14,"")</f>
        <v/>
      </c>
      <c r="L124" s="18" t="n"/>
      <c r="M124" s="17" t="n"/>
      <c r="N124" s="18" t="n"/>
      <c r="O124" s="20">
        <f>IF(OR(A124="",F124="Won",F124="Lost",F124="Not now"),"",IF(AND(ISNUMBER(N124),N124&lt;=TODAY()),"Due",IF(AND(F124="Messaged",ISNUMBER(H124),NOT(ISNUMBER(N124)),TODAY()-H124&gt;=3,TODAY()-H124&lt;=14),"Follow up","")))</f>
        <v/>
      </c>
      <c r="P124" s="21" t="n"/>
      <c r="Q124" s="16" t="n"/>
      <c r="R124" s="17" t="n"/>
    </row>
    <row r="125">
      <c r="A125" s="16" t="n"/>
      <c r="B125" s="16" t="n"/>
      <c r="C125" s="16" t="n"/>
      <c r="D125" s="16" t="n"/>
      <c r="E125" s="17" t="n"/>
      <c r="F125" s="16" t="n"/>
      <c r="G125" s="16" t="n"/>
      <c r="H125" s="18" t="n"/>
      <c r="I125" s="19">
        <f>IF(ISNUMBER(H125),H125+3,"")</f>
        <v/>
      </c>
      <c r="J125" s="19">
        <f>IF(ISNUMBER(H125),H125+7,"")</f>
        <v/>
      </c>
      <c r="K125" s="19">
        <f>IF(ISNUMBER(H125),H125+14,"")</f>
        <v/>
      </c>
      <c r="L125" s="18" t="n"/>
      <c r="M125" s="17" t="n"/>
      <c r="N125" s="18" t="n"/>
      <c r="O125" s="20">
        <f>IF(OR(A125="",F125="Won",F125="Lost",F125="Not now"),"",IF(AND(ISNUMBER(N125),N125&lt;=TODAY()),"Due",IF(AND(F125="Messaged",ISNUMBER(H125),NOT(ISNUMBER(N125)),TODAY()-H125&gt;=3,TODAY()-H125&lt;=14),"Follow up","")))</f>
        <v/>
      </c>
      <c r="P125" s="21" t="n"/>
      <c r="Q125" s="16" t="n"/>
      <c r="R125" s="17" t="n"/>
    </row>
    <row r="126">
      <c r="A126" s="16" t="n"/>
      <c r="B126" s="16" t="n"/>
      <c r="C126" s="16" t="n"/>
      <c r="D126" s="16" t="n"/>
      <c r="E126" s="17" t="n"/>
      <c r="F126" s="16" t="n"/>
      <c r="G126" s="16" t="n"/>
      <c r="H126" s="18" t="n"/>
      <c r="I126" s="19">
        <f>IF(ISNUMBER(H126),H126+3,"")</f>
        <v/>
      </c>
      <c r="J126" s="19">
        <f>IF(ISNUMBER(H126),H126+7,"")</f>
        <v/>
      </c>
      <c r="K126" s="19">
        <f>IF(ISNUMBER(H126),H126+14,"")</f>
        <v/>
      </c>
      <c r="L126" s="18" t="n"/>
      <c r="M126" s="17" t="n"/>
      <c r="N126" s="18" t="n"/>
      <c r="O126" s="20">
        <f>IF(OR(A126="",F126="Won",F126="Lost",F126="Not now"),"",IF(AND(ISNUMBER(N126),N126&lt;=TODAY()),"Due",IF(AND(F126="Messaged",ISNUMBER(H126),NOT(ISNUMBER(N126)),TODAY()-H126&gt;=3,TODAY()-H126&lt;=14),"Follow up","")))</f>
        <v/>
      </c>
      <c r="P126" s="21" t="n"/>
      <c r="Q126" s="16" t="n"/>
      <c r="R126" s="17" t="n"/>
    </row>
    <row r="127">
      <c r="A127" s="16" t="n"/>
      <c r="B127" s="16" t="n"/>
      <c r="C127" s="16" t="n"/>
      <c r="D127" s="16" t="n"/>
      <c r="E127" s="17" t="n"/>
      <c r="F127" s="16" t="n"/>
      <c r="G127" s="16" t="n"/>
      <c r="H127" s="18" t="n"/>
      <c r="I127" s="19">
        <f>IF(ISNUMBER(H127),H127+3,"")</f>
        <v/>
      </c>
      <c r="J127" s="19">
        <f>IF(ISNUMBER(H127),H127+7,"")</f>
        <v/>
      </c>
      <c r="K127" s="19">
        <f>IF(ISNUMBER(H127),H127+14,"")</f>
        <v/>
      </c>
      <c r="L127" s="18" t="n"/>
      <c r="M127" s="17" t="n"/>
      <c r="N127" s="18" t="n"/>
      <c r="O127" s="20">
        <f>IF(OR(A127="",F127="Won",F127="Lost",F127="Not now"),"",IF(AND(ISNUMBER(N127),N127&lt;=TODAY()),"Due",IF(AND(F127="Messaged",ISNUMBER(H127),NOT(ISNUMBER(N127)),TODAY()-H127&gt;=3,TODAY()-H127&lt;=14),"Follow up","")))</f>
        <v/>
      </c>
      <c r="P127" s="21" t="n"/>
      <c r="Q127" s="16" t="n"/>
      <c r="R127" s="17" t="n"/>
    </row>
    <row r="128">
      <c r="A128" s="16" t="n"/>
      <c r="B128" s="16" t="n"/>
      <c r="C128" s="16" t="n"/>
      <c r="D128" s="16" t="n"/>
      <c r="E128" s="17" t="n"/>
      <c r="F128" s="16" t="n"/>
      <c r="G128" s="16" t="n"/>
      <c r="H128" s="18" t="n"/>
      <c r="I128" s="19">
        <f>IF(ISNUMBER(H128),H128+3,"")</f>
        <v/>
      </c>
      <c r="J128" s="19">
        <f>IF(ISNUMBER(H128),H128+7,"")</f>
        <v/>
      </c>
      <c r="K128" s="19">
        <f>IF(ISNUMBER(H128),H128+14,"")</f>
        <v/>
      </c>
      <c r="L128" s="18" t="n"/>
      <c r="M128" s="17" t="n"/>
      <c r="N128" s="18" t="n"/>
      <c r="O128" s="20">
        <f>IF(OR(A128="",F128="Won",F128="Lost",F128="Not now"),"",IF(AND(ISNUMBER(N128),N128&lt;=TODAY()),"Due",IF(AND(F128="Messaged",ISNUMBER(H128),NOT(ISNUMBER(N128)),TODAY()-H128&gt;=3,TODAY()-H128&lt;=14),"Follow up","")))</f>
        <v/>
      </c>
      <c r="P128" s="21" t="n"/>
      <c r="Q128" s="16" t="n"/>
      <c r="R128" s="17" t="n"/>
    </row>
    <row r="129">
      <c r="A129" s="16" t="n"/>
      <c r="B129" s="16" t="n"/>
      <c r="C129" s="16" t="n"/>
      <c r="D129" s="16" t="n"/>
      <c r="E129" s="17" t="n"/>
      <c r="F129" s="16" t="n"/>
      <c r="G129" s="16" t="n"/>
      <c r="H129" s="18" t="n"/>
      <c r="I129" s="19">
        <f>IF(ISNUMBER(H129),H129+3,"")</f>
        <v/>
      </c>
      <c r="J129" s="19">
        <f>IF(ISNUMBER(H129),H129+7,"")</f>
        <v/>
      </c>
      <c r="K129" s="19">
        <f>IF(ISNUMBER(H129),H129+14,"")</f>
        <v/>
      </c>
      <c r="L129" s="18" t="n"/>
      <c r="M129" s="17" t="n"/>
      <c r="N129" s="18" t="n"/>
      <c r="O129" s="20">
        <f>IF(OR(A129="",F129="Won",F129="Lost",F129="Not now"),"",IF(AND(ISNUMBER(N129),N129&lt;=TODAY()),"Due",IF(AND(F129="Messaged",ISNUMBER(H129),NOT(ISNUMBER(N129)),TODAY()-H129&gt;=3,TODAY()-H129&lt;=14),"Follow up","")))</f>
        <v/>
      </c>
      <c r="P129" s="21" t="n"/>
      <c r="Q129" s="16" t="n"/>
      <c r="R129" s="17" t="n"/>
    </row>
    <row r="130">
      <c r="A130" s="16" t="n"/>
      <c r="B130" s="16" t="n"/>
      <c r="C130" s="16" t="n"/>
      <c r="D130" s="16" t="n"/>
      <c r="E130" s="17" t="n"/>
      <c r="F130" s="16" t="n"/>
      <c r="G130" s="16" t="n"/>
      <c r="H130" s="18" t="n"/>
      <c r="I130" s="19">
        <f>IF(ISNUMBER(H130),H130+3,"")</f>
        <v/>
      </c>
      <c r="J130" s="19">
        <f>IF(ISNUMBER(H130),H130+7,"")</f>
        <v/>
      </c>
      <c r="K130" s="19">
        <f>IF(ISNUMBER(H130),H130+14,"")</f>
        <v/>
      </c>
      <c r="L130" s="18" t="n"/>
      <c r="M130" s="17" t="n"/>
      <c r="N130" s="18" t="n"/>
      <c r="O130" s="20">
        <f>IF(OR(A130="",F130="Won",F130="Lost",F130="Not now"),"",IF(AND(ISNUMBER(N130),N130&lt;=TODAY()),"Due",IF(AND(F130="Messaged",ISNUMBER(H130),NOT(ISNUMBER(N130)),TODAY()-H130&gt;=3,TODAY()-H130&lt;=14),"Follow up","")))</f>
        <v/>
      </c>
      <c r="P130" s="21" t="n"/>
      <c r="Q130" s="16" t="n"/>
      <c r="R130" s="17" t="n"/>
    </row>
    <row r="131">
      <c r="A131" s="16" t="n"/>
      <c r="B131" s="16" t="n"/>
      <c r="C131" s="16" t="n"/>
      <c r="D131" s="16" t="n"/>
      <c r="E131" s="17" t="n"/>
      <c r="F131" s="16" t="n"/>
      <c r="G131" s="16" t="n"/>
      <c r="H131" s="18" t="n"/>
      <c r="I131" s="19">
        <f>IF(ISNUMBER(H131),H131+3,"")</f>
        <v/>
      </c>
      <c r="J131" s="19">
        <f>IF(ISNUMBER(H131),H131+7,"")</f>
        <v/>
      </c>
      <c r="K131" s="19">
        <f>IF(ISNUMBER(H131),H131+14,"")</f>
        <v/>
      </c>
      <c r="L131" s="18" t="n"/>
      <c r="M131" s="17" t="n"/>
      <c r="N131" s="18" t="n"/>
      <c r="O131" s="20">
        <f>IF(OR(A131="",F131="Won",F131="Lost",F131="Not now"),"",IF(AND(ISNUMBER(N131),N131&lt;=TODAY()),"Due",IF(AND(F131="Messaged",ISNUMBER(H131),NOT(ISNUMBER(N131)),TODAY()-H131&gt;=3,TODAY()-H131&lt;=14),"Follow up","")))</f>
        <v/>
      </c>
      <c r="P131" s="21" t="n"/>
      <c r="Q131" s="16" t="n"/>
      <c r="R131" s="17" t="n"/>
    </row>
    <row r="132">
      <c r="A132" s="16" t="n"/>
      <c r="B132" s="16" t="n"/>
      <c r="C132" s="16" t="n"/>
      <c r="D132" s="16" t="n"/>
      <c r="E132" s="17" t="n"/>
      <c r="F132" s="16" t="n"/>
      <c r="G132" s="16" t="n"/>
      <c r="H132" s="18" t="n"/>
      <c r="I132" s="19">
        <f>IF(ISNUMBER(H132),H132+3,"")</f>
        <v/>
      </c>
      <c r="J132" s="19">
        <f>IF(ISNUMBER(H132),H132+7,"")</f>
        <v/>
      </c>
      <c r="K132" s="19">
        <f>IF(ISNUMBER(H132),H132+14,"")</f>
        <v/>
      </c>
      <c r="L132" s="18" t="n"/>
      <c r="M132" s="17" t="n"/>
      <c r="N132" s="18" t="n"/>
      <c r="O132" s="20">
        <f>IF(OR(A132="",F132="Won",F132="Lost",F132="Not now"),"",IF(AND(ISNUMBER(N132),N132&lt;=TODAY()),"Due",IF(AND(F132="Messaged",ISNUMBER(H132),NOT(ISNUMBER(N132)),TODAY()-H132&gt;=3,TODAY()-H132&lt;=14),"Follow up","")))</f>
        <v/>
      </c>
      <c r="P132" s="21" t="n"/>
      <c r="Q132" s="16" t="n"/>
      <c r="R132" s="17" t="n"/>
    </row>
    <row r="133">
      <c r="A133" s="16" t="n"/>
      <c r="B133" s="16" t="n"/>
      <c r="C133" s="16" t="n"/>
      <c r="D133" s="16" t="n"/>
      <c r="E133" s="17" t="n"/>
      <c r="F133" s="16" t="n"/>
      <c r="G133" s="16" t="n"/>
      <c r="H133" s="18" t="n"/>
      <c r="I133" s="19">
        <f>IF(ISNUMBER(H133),H133+3,"")</f>
        <v/>
      </c>
      <c r="J133" s="19">
        <f>IF(ISNUMBER(H133),H133+7,"")</f>
        <v/>
      </c>
      <c r="K133" s="19">
        <f>IF(ISNUMBER(H133),H133+14,"")</f>
        <v/>
      </c>
      <c r="L133" s="18" t="n"/>
      <c r="M133" s="17" t="n"/>
      <c r="N133" s="18" t="n"/>
      <c r="O133" s="20">
        <f>IF(OR(A133="",F133="Won",F133="Lost",F133="Not now"),"",IF(AND(ISNUMBER(N133),N133&lt;=TODAY()),"Due",IF(AND(F133="Messaged",ISNUMBER(H133),NOT(ISNUMBER(N133)),TODAY()-H133&gt;=3,TODAY()-H133&lt;=14),"Follow up","")))</f>
        <v/>
      </c>
      <c r="P133" s="21" t="n"/>
      <c r="Q133" s="16" t="n"/>
      <c r="R133" s="17" t="n"/>
    </row>
    <row r="134">
      <c r="A134" s="16" t="n"/>
      <c r="B134" s="16" t="n"/>
      <c r="C134" s="16" t="n"/>
      <c r="D134" s="16" t="n"/>
      <c r="E134" s="17" t="n"/>
      <c r="F134" s="16" t="n"/>
      <c r="G134" s="16" t="n"/>
      <c r="H134" s="18" t="n"/>
      <c r="I134" s="19">
        <f>IF(ISNUMBER(H134),H134+3,"")</f>
        <v/>
      </c>
      <c r="J134" s="19">
        <f>IF(ISNUMBER(H134),H134+7,"")</f>
        <v/>
      </c>
      <c r="K134" s="19">
        <f>IF(ISNUMBER(H134),H134+14,"")</f>
        <v/>
      </c>
      <c r="L134" s="18" t="n"/>
      <c r="M134" s="17" t="n"/>
      <c r="N134" s="18" t="n"/>
      <c r="O134" s="20">
        <f>IF(OR(A134="",F134="Won",F134="Lost",F134="Not now"),"",IF(AND(ISNUMBER(N134),N134&lt;=TODAY()),"Due",IF(AND(F134="Messaged",ISNUMBER(H134),NOT(ISNUMBER(N134)),TODAY()-H134&gt;=3,TODAY()-H134&lt;=14),"Follow up","")))</f>
        <v/>
      </c>
      <c r="P134" s="21" t="n"/>
      <c r="Q134" s="16" t="n"/>
      <c r="R134" s="17" t="n"/>
    </row>
    <row r="135">
      <c r="A135" s="16" t="n"/>
      <c r="B135" s="16" t="n"/>
      <c r="C135" s="16" t="n"/>
      <c r="D135" s="16" t="n"/>
      <c r="E135" s="17" t="n"/>
      <c r="F135" s="16" t="n"/>
      <c r="G135" s="16" t="n"/>
      <c r="H135" s="18" t="n"/>
      <c r="I135" s="19">
        <f>IF(ISNUMBER(H135),H135+3,"")</f>
        <v/>
      </c>
      <c r="J135" s="19">
        <f>IF(ISNUMBER(H135),H135+7,"")</f>
        <v/>
      </c>
      <c r="K135" s="19">
        <f>IF(ISNUMBER(H135),H135+14,"")</f>
        <v/>
      </c>
      <c r="L135" s="18" t="n"/>
      <c r="M135" s="17" t="n"/>
      <c r="N135" s="18" t="n"/>
      <c r="O135" s="20">
        <f>IF(OR(A135="",F135="Won",F135="Lost",F135="Not now"),"",IF(AND(ISNUMBER(N135),N135&lt;=TODAY()),"Due",IF(AND(F135="Messaged",ISNUMBER(H135),NOT(ISNUMBER(N135)),TODAY()-H135&gt;=3,TODAY()-H135&lt;=14),"Follow up","")))</f>
        <v/>
      </c>
      <c r="P135" s="21" t="n"/>
      <c r="Q135" s="16" t="n"/>
      <c r="R135" s="17" t="n"/>
    </row>
    <row r="136">
      <c r="A136" s="16" t="n"/>
      <c r="B136" s="16" t="n"/>
      <c r="C136" s="16" t="n"/>
      <c r="D136" s="16" t="n"/>
      <c r="E136" s="17" t="n"/>
      <c r="F136" s="16" t="n"/>
      <c r="G136" s="16" t="n"/>
      <c r="H136" s="18" t="n"/>
      <c r="I136" s="19">
        <f>IF(ISNUMBER(H136),H136+3,"")</f>
        <v/>
      </c>
      <c r="J136" s="19">
        <f>IF(ISNUMBER(H136),H136+7,"")</f>
        <v/>
      </c>
      <c r="K136" s="19">
        <f>IF(ISNUMBER(H136),H136+14,"")</f>
        <v/>
      </c>
      <c r="L136" s="18" t="n"/>
      <c r="M136" s="17" t="n"/>
      <c r="N136" s="18" t="n"/>
      <c r="O136" s="20">
        <f>IF(OR(A136="",F136="Won",F136="Lost",F136="Not now"),"",IF(AND(ISNUMBER(N136),N136&lt;=TODAY()),"Due",IF(AND(F136="Messaged",ISNUMBER(H136),NOT(ISNUMBER(N136)),TODAY()-H136&gt;=3,TODAY()-H136&lt;=14),"Follow up","")))</f>
        <v/>
      </c>
      <c r="P136" s="21" t="n"/>
      <c r="Q136" s="16" t="n"/>
      <c r="R136" s="17" t="n"/>
    </row>
    <row r="137">
      <c r="A137" s="16" t="n"/>
      <c r="B137" s="16" t="n"/>
      <c r="C137" s="16" t="n"/>
      <c r="D137" s="16" t="n"/>
      <c r="E137" s="17" t="n"/>
      <c r="F137" s="16" t="n"/>
      <c r="G137" s="16" t="n"/>
      <c r="H137" s="18" t="n"/>
      <c r="I137" s="19">
        <f>IF(ISNUMBER(H137),H137+3,"")</f>
        <v/>
      </c>
      <c r="J137" s="19">
        <f>IF(ISNUMBER(H137),H137+7,"")</f>
        <v/>
      </c>
      <c r="K137" s="19">
        <f>IF(ISNUMBER(H137),H137+14,"")</f>
        <v/>
      </c>
      <c r="L137" s="18" t="n"/>
      <c r="M137" s="17" t="n"/>
      <c r="N137" s="18" t="n"/>
      <c r="O137" s="20">
        <f>IF(OR(A137="",F137="Won",F137="Lost",F137="Not now"),"",IF(AND(ISNUMBER(N137),N137&lt;=TODAY()),"Due",IF(AND(F137="Messaged",ISNUMBER(H137),NOT(ISNUMBER(N137)),TODAY()-H137&gt;=3,TODAY()-H137&lt;=14),"Follow up","")))</f>
        <v/>
      </c>
      <c r="P137" s="21" t="n"/>
      <c r="Q137" s="16" t="n"/>
      <c r="R137" s="17" t="n"/>
    </row>
    <row r="138">
      <c r="A138" s="16" t="n"/>
      <c r="B138" s="16" t="n"/>
      <c r="C138" s="16" t="n"/>
      <c r="D138" s="16" t="n"/>
      <c r="E138" s="17" t="n"/>
      <c r="F138" s="16" t="n"/>
      <c r="G138" s="16" t="n"/>
      <c r="H138" s="18" t="n"/>
      <c r="I138" s="19">
        <f>IF(ISNUMBER(H138),H138+3,"")</f>
        <v/>
      </c>
      <c r="J138" s="19">
        <f>IF(ISNUMBER(H138),H138+7,"")</f>
        <v/>
      </c>
      <c r="K138" s="19">
        <f>IF(ISNUMBER(H138),H138+14,"")</f>
        <v/>
      </c>
      <c r="L138" s="18" t="n"/>
      <c r="M138" s="17" t="n"/>
      <c r="N138" s="18" t="n"/>
      <c r="O138" s="20">
        <f>IF(OR(A138="",F138="Won",F138="Lost",F138="Not now"),"",IF(AND(ISNUMBER(N138),N138&lt;=TODAY()),"Due",IF(AND(F138="Messaged",ISNUMBER(H138),NOT(ISNUMBER(N138)),TODAY()-H138&gt;=3,TODAY()-H138&lt;=14),"Follow up","")))</f>
        <v/>
      </c>
      <c r="P138" s="21" t="n"/>
      <c r="Q138" s="16" t="n"/>
      <c r="R138" s="17" t="n"/>
    </row>
    <row r="139">
      <c r="A139" s="16" t="n"/>
      <c r="B139" s="16" t="n"/>
      <c r="C139" s="16" t="n"/>
      <c r="D139" s="16" t="n"/>
      <c r="E139" s="17" t="n"/>
      <c r="F139" s="16" t="n"/>
      <c r="G139" s="16" t="n"/>
      <c r="H139" s="18" t="n"/>
      <c r="I139" s="19">
        <f>IF(ISNUMBER(H139),H139+3,"")</f>
        <v/>
      </c>
      <c r="J139" s="19">
        <f>IF(ISNUMBER(H139),H139+7,"")</f>
        <v/>
      </c>
      <c r="K139" s="19">
        <f>IF(ISNUMBER(H139),H139+14,"")</f>
        <v/>
      </c>
      <c r="L139" s="18" t="n"/>
      <c r="M139" s="17" t="n"/>
      <c r="N139" s="18" t="n"/>
      <c r="O139" s="20">
        <f>IF(OR(A139="",F139="Won",F139="Lost",F139="Not now"),"",IF(AND(ISNUMBER(N139),N139&lt;=TODAY()),"Due",IF(AND(F139="Messaged",ISNUMBER(H139),NOT(ISNUMBER(N139)),TODAY()-H139&gt;=3,TODAY()-H139&lt;=14),"Follow up","")))</f>
        <v/>
      </c>
      <c r="P139" s="21" t="n"/>
      <c r="Q139" s="16" t="n"/>
      <c r="R139" s="17" t="n"/>
    </row>
    <row r="140">
      <c r="A140" s="16" t="n"/>
      <c r="B140" s="16" t="n"/>
      <c r="C140" s="16" t="n"/>
      <c r="D140" s="16" t="n"/>
      <c r="E140" s="17" t="n"/>
      <c r="F140" s="16" t="n"/>
      <c r="G140" s="16" t="n"/>
      <c r="H140" s="18" t="n"/>
      <c r="I140" s="19">
        <f>IF(ISNUMBER(H140),H140+3,"")</f>
        <v/>
      </c>
      <c r="J140" s="19">
        <f>IF(ISNUMBER(H140),H140+7,"")</f>
        <v/>
      </c>
      <c r="K140" s="19">
        <f>IF(ISNUMBER(H140),H140+14,"")</f>
        <v/>
      </c>
      <c r="L140" s="18" t="n"/>
      <c r="M140" s="17" t="n"/>
      <c r="N140" s="18" t="n"/>
      <c r="O140" s="20">
        <f>IF(OR(A140="",F140="Won",F140="Lost",F140="Not now"),"",IF(AND(ISNUMBER(N140),N140&lt;=TODAY()),"Due",IF(AND(F140="Messaged",ISNUMBER(H140),NOT(ISNUMBER(N140)),TODAY()-H140&gt;=3,TODAY()-H140&lt;=14),"Follow up","")))</f>
        <v/>
      </c>
      <c r="P140" s="21" t="n"/>
      <c r="Q140" s="16" t="n"/>
      <c r="R140" s="17" t="n"/>
    </row>
    <row r="141">
      <c r="A141" s="16" t="n"/>
      <c r="B141" s="16" t="n"/>
      <c r="C141" s="16" t="n"/>
      <c r="D141" s="16" t="n"/>
      <c r="E141" s="17" t="n"/>
      <c r="F141" s="16" t="n"/>
      <c r="G141" s="16" t="n"/>
      <c r="H141" s="18" t="n"/>
      <c r="I141" s="19">
        <f>IF(ISNUMBER(H141),H141+3,"")</f>
        <v/>
      </c>
      <c r="J141" s="19">
        <f>IF(ISNUMBER(H141),H141+7,"")</f>
        <v/>
      </c>
      <c r="K141" s="19">
        <f>IF(ISNUMBER(H141),H141+14,"")</f>
        <v/>
      </c>
      <c r="L141" s="18" t="n"/>
      <c r="M141" s="17" t="n"/>
      <c r="N141" s="18" t="n"/>
      <c r="O141" s="20">
        <f>IF(OR(A141="",F141="Won",F141="Lost",F141="Not now"),"",IF(AND(ISNUMBER(N141),N141&lt;=TODAY()),"Due",IF(AND(F141="Messaged",ISNUMBER(H141),NOT(ISNUMBER(N141)),TODAY()-H141&gt;=3,TODAY()-H141&lt;=14),"Follow up","")))</f>
        <v/>
      </c>
      <c r="P141" s="21" t="n"/>
      <c r="Q141" s="16" t="n"/>
      <c r="R141" s="17" t="n"/>
    </row>
    <row r="142">
      <c r="A142" s="16" t="n"/>
      <c r="B142" s="16" t="n"/>
      <c r="C142" s="16" t="n"/>
      <c r="D142" s="16" t="n"/>
      <c r="E142" s="17" t="n"/>
      <c r="F142" s="16" t="n"/>
      <c r="G142" s="16" t="n"/>
      <c r="H142" s="18" t="n"/>
      <c r="I142" s="19">
        <f>IF(ISNUMBER(H142),H142+3,"")</f>
        <v/>
      </c>
      <c r="J142" s="19">
        <f>IF(ISNUMBER(H142),H142+7,"")</f>
        <v/>
      </c>
      <c r="K142" s="19">
        <f>IF(ISNUMBER(H142),H142+14,"")</f>
        <v/>
      </c>
      <c r="L142" s="18" t="n"/>
      <c r="M142" s="17" t="n"/>
      <c r="N142" s="18" t="n"/>
      <c r="O142" s="20">
        <f>IF(OR(A142="",F142="Won",F142="Lost",F142="Not now"),"",IF(AND(ISNUMBER(N142),N142&lt;=TODAY()),"Due",IF(AND(F142="Messaged",ISNUMBER(H142),NOT(ISNUMBER(N142)),TODAY()-H142&gt;=3,TODAY()-H142&lt;=14),"Follow up","")))</f>
        <v/>
      </c>
      <c r="P142" s="21" t="n"/>
      <c r="Q142" s="16" t="n"/>
      <c r="R142" s="17" t="n"/>
    </row>
    <row r="143">
      <c r="A143" s="16" t="n"/>
      <c r="B143" s="16" t="n"/>
      <c r="C143" s="16" t="n"/>
      <c r="D143" s="16" t="n"/>
      <c r="E143" s="17" t="n"/>
      <c r="F143" s="16" t="n"/>
      <c r="G143" s="16" t="n"/>
      <c r="H143" s="18" t="n"/>
      <c r="I143" s="19">
        <f>IF(ISNUMBER(H143),H143+3,"")</f>
        <v/>
      </c>
      <c r="J143" s="19">
        <f>IF(ISNUMBER(H143),H143+7,"")</f>
        <v/>
      </c>
      <c r="K143" s="19">
        <f>IF(ISNUMBER(H143),H143+14,"")</f>
        <v/>
      </c>
      <c r="L143" s="18" t="n"/>
      <c r="M143" s="17" t="n"/>
      <c r="N143" s="18" t="n"/>
      <c r="O143" s="20">
        <f>IF(OR(A143="",F143="Won",F143="Lost",F143="Not now"),"",IF(AND(ISNUMBER(N143),N143&lt;=TODAY()),"Due",IF(AND(F143="Messaged",ISNUMBER(H143),NOT(ISNUMBER(N143)),TODAY()-H143&gt;=3,TODAY()-H143&lt;=14),"Follow up","")))</f>
        <v/>
      </c>
      <c r="P143" s="21" t="n"/>
      <c r="Q143" s="16" t="n"/>
      <c r="R143" s="17" t="n"/>
    </row>
    <row r="144">
      <c r="A144" s="16" t="n"/>
      <c r="B144" s="16" t="n"/>
      <c r="C144" s="16" t="n"/>
      <c r="D144" s="16" t="n"/>
      <c r="E144" s="17" t="n"/>
      <c r="F144" s="16" t="n"/>
      <c r="G144" s="16" t="n"/>
      <c r="H144" s="18" t="n"/>
      <c r="I144" s="19">
        <f>IF(ISNUMBER(H144),H144+3,"")</f>
        <v/>
      </c>
      <c r="J144" s="19">
        <f>IF(ISNUMBER(H144),H144+7,"")</f>
        <v/>
      </c>
      <c r="K144" s="19">
        <f>IF(ISNUMBER(H144),H144+14,"")</f>
        <v/>
      </c>
      <c r="L144" s="18" t="n"/>
      <c r="M144" s="17" t="n"/>
      <c r="N144" s="18" t="n"/>
      <c r="O144" s="20">
        <f>IF(OR(A144="",F144="Won",F144="Lost",F144="Not now"),"",IF(AND(ISNUMBER(N144),N144&lt;=TODAY()),"Due",IF(AND(F144="Messaged",ISNUMBER(H144),NOT(ISNUMBER(N144)),TODAY()-H144&gt;=3,TODAY()-H144&lt;=14),"Follow up","")))</f>
        <v/>
      </c>
      <c r="P144" s="21" t="n"/>
      <c r="Q144" s="16" t="n"/>
      <c r="R144" s="17" t="n"/>
    </row>
    <row r="145">
      <c r="A145" s="16" t="n"/>
      <c r="B145" s="16" t="n"/>
      <c r="C145" s="16" t="n"/>
      <c r="D145" s="16" t="n"/>
      <c r="E145" s="17" t="n"/>
      <c r="F145" s="16" t="n"/>
      <c r="G145" s="16" t="n"/>
      <c r="H145" s="18" t="n"/>
      <c r="I145" s="19">
        <f>IF(ISNUMBER(H145),H145+3,"")</f>
        <v/>
      </c>
      <c r="J145" s="19">
        <f>IF(ISNUMBER(H145),H145+7,"")</f>
        <v/>
      </c>
      <c r="K145" s="19">
        <f>IF(ISNUMBER(H145),H145+14,"")</f>
        <v/>
      </c>
      <c r="L145" s="18" t="n"/>
      <c r="M145" s="17" t="n"/>
      <c r="N145" s="18" t="n"/>
      <c r="O145" s="20">
        <f>IF(OR(A145="",F145="Won",F145="Lost",F145="Not now"),"",IF(AND(ISNUMBER(N145),N145&lt;=TODAY()),"Due",IF(AND(F145="Messaged",ISNUMBER(H145),NOT(ISNUMBER(N145)),TODAY()-H145&gt;=3,TODAY()-H145&lt;=14),"Follow up","")))</f>
        <v/>
      </c>
      <c r="P145" s="21" t="n"/>
      <c r="Q145" s="16" t="n"/>
      <c r="R145" s="17" t="n"/>
    </row>
    <row r="146">
      <c r="A146" s="16" t="n"/>
      <c r="B146" s="16" t="n"/>
      <c r="C146" s="16" t="n"/>
      <c r="D146" s="16" t="n"/>
      <c r="E146" s="17" t="n"/>
      <c r="F146" s="16" t="n"/>
      <c r="G146" s="16" t="n"/>
      <c r="H146" s="18" t="n"/>
      <c r="I146" s="19">
        <f>IF(ISNUMBER(H146),H146+3,"")</f>
        <v/>
      </c>
      <c r="J146" s="19">
        <f>IF(ISNUMBER(H146),H146+7,"")</f>
        <v/>
      </c>
      <c r="K146" s="19">
        <f>IF(ISNUMBER(H146),H146+14,"")</f>
        <v/>
      </c>
      <c r="L146" s="18" t="n"/>
      <c r="M146" s="17" t="n"/>
      <c r="N146" s="18" t="n"/>
      <c r="O146" s="20">
        <f>IF(OR(A146="",F146="Won",F146="Lost",F146="Not now"),"",IF(AND(ISNUMBER(N146),N146&lt;=TODAY()),"Due",IF(AND(F146="Messaged",ISNUMBER(H146),NOT(ISNUMBER(N146)),TODAY()-H146&gt;=3,TODAY()-H146&lt;=14),"Follow up","")))</f>
        <v/>
      </c>
      <c r="P146" s="21" t="n"/>
      <c r="Q146" s="16" t="n"/>
      <c r="R146" s="17" t="n"/>
    </row>
    <row r="147">
      <c r="A147" s="16" t="n"/>
      <c r="B147" s="16" t="n"/>
      <c r="C147" s="16" t="n"/>
      <c r="D147" s="16" t="n"/>
      <c r="E147" s="17" t="n"/>
      <c r="F147" s="16" t="n"/>
      <c r="G147" s="16" t="n"/>
      <c r="H147" s="18" t="n"/>
      <c r="I147" s="19">
        <f>IF(ISNUMBER(H147),H147+3,"")</f>
        <v/>
      </c>
      <c r="J147" s="19">
        <f>IF(ISNUMBER(H147),H147+7,"")</f>
        <v/>
      </c>
      <c r="K147" s="19">
        <f>IF(ISNUMBER(H147),H147+14,"")</f>
        <v/>
      </c>
      <c r="L147" s="18" t="n"/>
      <c r="M147" s="17" t="n"/>
      <c r="N147" s="18" t="n"/>
      <c r="O147" s="20">
        <f>IF(OR(A147="",F147="Won",F147="Lost",F147="Not now"),"",IF(AND(ISNUMBER(N147),N147&lt;=TODAY()),"Due",IF(AND(F147="Messaged",ISNUMBER(H147),NOT(ISNUMBER(N147)),TODAY()-H147&gt;=3,TODAY()-H147&lt;=14),"Follow up","")))</f>
        <v/>
      </c>
      <c r="P147" s="21" t="n"/>
      <c r="Q147" s="16" t="n"/>
      <c r="R147" s="17" t="n"/>
    </row>
    <row r="148">
      <c r="A148" s="16" t="n"/>
      <c r="B148" s="16" t="n"/>
      <c r="C148" s="16" t="n"/>
      <c r="D148" s="16" t="n"/>
      <c r="E148" s="17" t="n"/>
      <c r="F148" s="16" t="n"/>
      <c r="G148" s="16" t="n"/>
      <c r="H148" s="18" t="n"/>
      <c r="I148" s="19">
        <f>IF(ISNUMBER(H148),H148+3,"")</f>
        <v/>
      </c>
      <c r="J148" s="19">
        <f>IF(ISNUMBER(H148),H148+7,"")</f>
        <v/>
      </c>
      <c r="K148" s="19">
        <f>IF(ISNUMBER(H148),H148+14,"")</f>
        <v/>
      </c>
      <c r="L148" s="18" t="n"/>
      <c r="M148" s="17" t="n"/>
      <c r="N148" s="18" t="n"/>
      <c r="O148" s="20">
        <f>IF(OR(A148="",F148="Won",F148="Lost",F148="Not now"),"",IF(AND(ISNUMBER(N148),N148&lt;=TODAY()),"Due",IF(AND(F148="Messaged",ISNUMBER(H148),NOT(ISNUMBER(N148)),TODAY()-H148&gt;=3,TODAY()-H148&lt;=14),"Follow up","")))</f>
        <v/>
      </c>
      <c r="P148" s="21" t="n"/>
      <c r="Q148" s="16" t="n"/>
      <c r="R148" s="17" t="n"/>
    </row>
    <row r="149">
      <c r="A149" s="16" t="n"/>
      <c r="B149" s="16" t="n"/>
      <c r="C149" s="16" t="n"/>
      <c r="D149" s="16" t="n"/>
      <c r="E149" s="17" t="n"/>
      <c r="F149" s="16" t="n"/>
      <c r="G149" s="16" t="n"/>
      <c r="H149" s="18" t="n"/>
      <c r="I149" s="19">
        <f>IF(ISNUMBER(H149),H149+3,"")</f>
        <v/>
      </c>
      <c r="J149" s="19">
        <f>IF(ISNUMBER(H149),H149+7,"")</f>
        <v/>
      </c>
      <c r="K149" s="19">
        <f>IF(ISNUMBER(H149),H149+14,"")</f>
        <v/>
      </c>
      <c r="L149" s="18" t="n"/>
      <c r="M149" s="17" t="n"/>
      <c r="N149" s="18" t="n"/>
      <c r="O149" s="20">
        <f>IF(OR(A149="",F149="Won",F149="Lost",F149="Not now"),"",IF(AND(ISNUMBER(N149),N149&lt;=TODAY()),"Due",IF(AND(F149="Messaged",ISNUMBER(H149),NOT(ISNUMBER(N149)),TODAY()-H149&gt;=3,TODAY()-H149&lt;=14),"Follow up","")))</f>
        <v/>
      </c>
      <c r="P149" s="21" t="n"/>
      <c r="Q149" s="16" t="n"/>
      <c r="R149" s="17" t="n"/>
    </row>
    <row r="150">
      <c r="A150" s="16" t="n"/>
      <c r="B150" s="16" t="n"/>
      <c r="C150" s="16" t="n"/>
      <c r="D150" s="16" t="n"/>
      <c r="E150" s="17" t="n"/>
      <c r="F150" s="16" t="n"/>
      <c r="G150" s="16" t="n"/>
      <c r="H150" s="18" t="n"/>
      <c r="I150" s="19">
        <f>IF(ISNUMBER(H150),H150+3,"")</f>
        <v/>
      </c>
      <c r="J150" s="19">
        <f>IF(ISNUMBER(H150),H150+7,"")</f>
        <v/>
      </c>
      <c r="K150" s="19">
        <f>IF(ISNUMBER(H150),H150+14,"")</f>
        <v/>
      </c>
      <c r="L150" s="18" t="n"/>
      <c r="M150" s="17" t="n"/>
      <c r="N150" s="18" t="n"/>
      <c r="O150" s="20">
        <f>IF(OR(A150="",F150="Won",F150="Lost",F150="Not now"),"",IF(AND(ISNUMBER(N150),N150&lt;=TODAY()),"Due",IF(AND(F150="Messaged",ISNUMBER(H150),NOT(ISNUMBER(N150)),TODAY()-H150&gt;=3,TODAY()-H150&lt;=14),"Follow up","")))</f>
        <v/>
      </c>
      <c r="P150" s="21" t="n"/>
      <c r="Q150" s="16" t="n"/>
      <c r="R150" s="17" t="n"/>
    </row>
    <row r="151">
      <c r="A151" s="16" t="n"/>
      <c r="B151" s="16" t="n"/>
      <c r="C151" s="16" t="n"/>
      <c r="D151" s="16" t="n"/>
      <c r="E151" s="17" t="n"/>
      <c r="F151" s="16" t="n"/>
      <c r="G151" s="16" t="n"/>
      <c r="H151" s="18" t="n"/>
      <c r="I151" s="19">
        <f>IF(ISNUMBER(H151),H151+3,"")</f>
        <v/>
      </c>
      <c r="J151" s="19">
        <f>IF(ISNUMBER(H151),H151+7,"")</f>
        <v/>
      </c>
      <c r="K151" s="19">
        <f>IF(ISNUMBER(H151),H151+14,"")</f>
        <v/>
      </c>
      <c r="L151" s="18" t="n"/>
      <c r="M151" s="17" t="n"/>
      <c r="N151" s="18" t="n"/>
      <c r="O151" s="20">
        <f>IF(OR(A151="",F151="Won",F151="Lost",F151="Not now"),"",IF(AND(ISNUMBER(N151),N151&lt;=TODAY()),"Due",IF(AND(F151="Messaged",ISNUMBER(H151),NOT(ISNUMBER(N151)),TODAY()-H151&gt;=3,TODAY()-H151&lt;=14),"Follow up","")))</f>
        <v/>
      </c>
      <c r="P151" s="21" t="n"/>
      <c r="Q151" s="16" t="n"/>
      <c r="R151" s="17" t="n"/>
    </row>
    <row r="152">
      <c r="A152" s="16" t="n"/>
      <c r="B152" s="16" t="n"/>
      <c r="C152" s="16" t="n"/>
      <c r="D152" s="16" t="n"/>
      <c r="E152" s="17" t="n"/>
      <c r="F152" s="16" t="n"/>
      <c r="G152" s="16" t="n"/>
      <c r="H152" s="18" t="n"/>
      <c r="I152" s="19">
        <f>IF(ISNUMBER(H152),H152+3,"")</f>
        <v/>
      </c>
      <c r="J152" s="19">
        <f>IF(ISNUMBER(H152),H152+7,"")</f>
        <v/>
      </c>
      <c r="K152" s="19">
        <f>IF(ISNUMBER(H152),H152+14,"")</f>
        <v/>
      </c>
      <c r="L152" s="18" t="n"/>
      <c r="M152" s="17" t="n"/>
      <c r="N152" s="18" t="n"/>
      <c r="O152" s="20">
        <f>IF(OR(A152="",F152="Won",F152="Lost",F152="Not now"),"",IF(AND(ISNUMBER(N152),N152&lt;=TODAY()),"Due",IF(AND(F152="Messaged",ISNUMBER(H152),NOT(ISNUMBER(N152)),TODAY()-H152&gt;=3,TODAY()-H152&lt;=14),"Follow up","")))</f>
        <v/>
      </c>
      <c r="P152" s="21" t="n"/>
      <c r="Q152" s="16" t="n"/>
      <c r="R152" s="17" t="n"/>
    </row>
    <row r="153">
      <c r="A153" s="16" t="n"/>
      <c r="B153" s="16" t="n"/>
      <c r="C153" s="16" t="n"/>
      <c r="D153" s="16" t="n"/>
      <c r="E153" s="17" t="n"/>
      <c r="F153" s="16" t="n"/>
      <c r="G153" s="16" t="n"/>
      <c r="H153" s="18" t="n"/>
      <c r="I153" s="19">
        <f>IF(ISNUMBER(H153),H153+3,"")</f>
        <v/>
      </c>
      <c r="J153" s="19">
        <f>IF(ISNUMBER(H153),H153+7,"")</f>
        <v/>
      </c>
      <c r="K153" s="19">
        <f>IF(ISNUMBER(H153),H153+14,"")</f>
        <v/>
      </c>
      <c r="L153" s="18" t="n"/>
      <c r="M153" s="17" t="n"/>
      <c r="N153" s="18" t="n"/>
      <c r="O153" s="20">
        <f>IF(OR(A153="",F153="Won",F153="Lost",F153="Not now"),"",IF(AND(ISNUMBER(N153),N153&lt;=TODAY()),"Due",IF(AND(F153="Messaged",ISNUMBER(H153),NOT(ISNUMBER(N153)),TODAY()-H153&gt;=3,TODAY()-H153&lt;=14),"Follow up","")))</f>
        <v/>
      </c>
      <c r="P153" s="21" t="n"/>
      <c r="Q153" s="16" t="n"/>
      <c r="R153" s="17" t="n"/>
    </row>
    <row r="154">
      <c r="A154" s="16" t="n"/>
      <c r="B154" s="16" t="n"/>
      <c r="C154" s="16" t="n"/>
      <c r="D154" s="16" t="n"/>
      <c r="E154" s="17" t="n"/>
      <c r="F154" s="16" t="n"/>
      <c r="G154" s="16" t="n"/>
      <c r="H154" s="18" t="n"/>
      <c r="I154" s="19">
        <f>IF(ISNUMBER(H154),H154+3,"")</f>
        <v/>
      </c>
      <c r="J154" s="19">
        <f>IF(ISNUMBER(H154),H154+7,"")</f>
        <v/>
      </c>
      <c r="K154" s="19">
        <f>IF(ISNUMBER(H154),H154+14,"")</f>
        <v/>
      </c>
      <c r="L154" s="18" t="n"/>
      <c r="M154" s="17" t="n"/>
      <c r="N154" s="18" t="n"/>
      <c r="O154" s="20">
        <f>IF(OR(A154="",F154="Won",F154="Lost",F154="Not now"),"",IF(AND(ISNUMBER(N154),N154&lt;=TODAY()),"Due",IF(AND(F154="Messaged",ISNUMBER(H154),NOT(ISNUMBER(N154)),TODAY()-H154&gt;=3,TODAY()-H154&lt;=14),"Follow up","")))</f>
        <v/>
      </c>
      <c r="P154" s="21" t="n"/>
      <c r="Q154" s="16" t="n"/>
      <c r="R154" s="17" t="n"/>
    </row>
    <row r="155">
      <c r="A155" s="16" t="n"/>
      <c r="B155" s="16" t="n"/>
      <c r="C155" s="16" t="n"/>
      <c r="D155" s="16" t="n"/>
      <c r="E155" s="17" t="n"/>
      <c r="F155" s="16" t="n"/>
      <c r="G155" s="16" t="n"/>
      <c r="H155" s="18" t="n"/>
      <c r="I155" s="19">
        <f>IF(ISNUMBER(H155),H155+3,"")</f>
        <v/>
      </c>
      <c r="J155" s="19">
        <f>IF(ISNUMBER(H155),H155+7,"")</f>
        <v/>
      </c>
      <c r="K155" s="19">
        <f>IF(ISNUMBER(H155),H155+14,"")</f>
        <v/>
      </c>
      <c r="L155" s="18" t="n"/>
      <c r="M155" s="17" t="n"/>
      <c r="N155" s="18" t="n"/>
      <c r="O155" s="20">
        <f>IF(OR(A155="",F155="Won",F155="Lost",F155="Not now"),"",IF(AND(ISNUMBER(N155),N155&lt;=TODAY()),"Due",IF(AND(F155="Messaged",ISNUMBER(H155),NOT(ISNUMBER(N155)),TODAY()-H155&gt;=3,TODAY()-H155&lt;=14),"Follow up","")))</f>
        <v/>
      </c>
      <c r="P155" s="21" t="n"/>
      <c r="Q155" s="16" t="n"/>
      <c r="R155" s="17" t="n"/>
    </row>
    <row r="156">
      <c r="A156" s="16" t="n"/>
      <c r="B156" s="16" t="n"/>
      <c r="C156" s="16" t="n"/>
      <c r="D156" s="16" t="n"/>
      <c r="E156" s="17" t="n"/>
      <c r="F156" s="16" t="n"/>
      <c r="G156" s="16" t="n"/>
      <c r="H156" s="18" t="n"/>
      <c r="I156" s="19">
        <f>IF(ISNUMBER(H156),H156+3,"")</f>
        <v/>
      </c>
      <c r="J156" s="19">
        <f>IF(ISNUMBER(H156),H156+7,"")</f>
        <v/>
      </c>
      <c r="K156" s="19">
        <f>IF(ISNUMBER(H156),H156+14,"")</f>
        <v/>
      </c>
      <c r="L156" s="18" t="n"/>
      <c r="M156" s="17" t="n"/>
      <c r="N156" s="18" t="n"/>
      <c r="O156" s="20">
        <f>IF(OR(A156="",F156="Won",F156="Lost",F156="Not now"),"",IF(AND(ISNUMBER(N156),N156&lt;=TODAY()),"Due",IF(AND(F156="Messaged",ISNUMBER(H156),NOT(ISNUMBER(N156)),TODAY()-H156&gt;=3,TODAY()-H156&lt;=14),"Follow up","")))</f>
        <v/>
      </c>
      <c r="P156" s="21" t="n"/>
      <c r="Q156" s="16" t="n"/>
      <c r="R156" s="17" t="n"/>
    </row>
    <row r="157">
      <c r="A157" s="16" t="n"/>
      <c r="B157" s="16" t="n"/>
      <c r="C157" s="16" t="n"/>
      <c r="D157" s="16" t="n"/>
      <c r="E157" s="17" t="n"/>
      <c r="F157" s="16" t="n"/>
      <c r="G157" s="16" t="n"/>
      <c r="H157" s="18" t="n"/>
      <c r="I157" s="19">
        <f>IF(ISNUMBER(H157),H157+3,"")</f>
        <v/>
      </c>
      <c r="J157" s="19">
        <f>IF(ISNUMBER(H157),H157+7,"")</f>
        <v/>
      </c>
      <c r="K157" s="19">
        <f>IF(ISNUMBER(H157),H157+14,"")</f>
        <v/>
      </c>
      <c r="L157" s="18" t="n"/>
      <c r="M157" s="17" t="n"/>
      <c r="N157" s="18" t="n"/>
      <c r="O157" s="20">
        <f>IF(OR(A157="",F157="Won",F157="Lost",F157="Not now"),"",IF(AND(ISNUMBER(N157),N157&lt;=TODAY()),"Due",IF(AND(F157="Messaged",ISNUMBER(H157),NOT(ISNUMBER(N157)),TODAY()-H157&gt;=3,TODAY()-H157&lt;=14),"Follow up","")))</f>
        <v/>
      </c>
      <c r="P157" s="21" t="n"/>
      <c r="Q157" s="16" t="n"/>
      <c r="R157" s="17" t="n"/>
    </row>
    <row r="158">
      <c r="A158" s="16" t="n"/>
      <c r="B158" s="16" t="n"/>
      <c r="C158" s="16" t="n"/>
      <c r="D158" s="16" t="n"/>
      <c r="E158" s="17" t="n"/>
      <c r="F158" s="16" t="n"/>
      <c r="G158" s="16" t="n"/>
      <c r="H158" s="18" t="n"/>
      <c r="I158" s="19">
        <f>IF(ISNUMBER(H158),H158+3,"")</f>
        <v/>
      </c>
      <c r="J158" s="19">
        <f>IF(ISNUMBER(H158),H158+7,"")</f>
        <v/>
      </c>
      <c r="K158" s="19">
        <f>IF(ISNUMBER(H158),H158+14,"")</f>
        <v/>
      </c>
      <c r="L158" s="18" t="n"/>
      <c r="M158" s="17" t="n"/>
      <c r="N158" s="18" t="n"/>
      <c r="O158" s="20">
        <f>IF(OR(A158="",F158="Won",F158="Lost",F158="Not now"),"",IF(AND(ISNUMBER(N158),N158&lt;=TODAY()),"Due",IF(AND(F158="Messaged",ISNUMBER(H158),NOT(ISNUMBER(N158)),TODAY()-H158&gt;=3,TODAY()-H158&lt;=14),"Follow up","")))</f>
        <v/>
      </c>
      <c r="P158" s="21" t="n"/>
      <c r="Q158" s="16" t="n"/>
      <c r="R158" s="17" t="n"/>
    </row>
    <row r="159">
      <c r="A159" s="16" t="n"/>
      <c r="B159" s="16" t="n"/>
      <c r="C159" s="16" t="n"/>
      <c r="D159" s="16" t="n"/>
      <c r="E159" s="17" t="n"/>
      <c r="F159" s="16" t="n"/>
      <c r="G159" s="16" t="n"/>
      <c r="H159" s="18" t="n"/>
      <c r="I159" s="19">
        <f>IF(ISNUMBER(H159),H159+3,"")</f>
        <v/>
      </c>
      <c r="J159" s="19">
        <f>IF(ISNUMBER(H159),H159+7,"")</f>
        <v/>
      </c>
      <c r="K159" s="19">
        <f>IF(ISNUMBER(H159),H159+14,"")</f>
        <v/>
      </c>
      <c r="L159" s="18" t="n"/>
      <c r="M159" s="17" t="n"/>
      <c r="N159" s="18" t="n"/>
      <c r="O159" s="20">
        <f>IF(OR(A159="",F159="Won",F159="Lost",F159="Not now"),"",IF(AND(ISNUMBER(N159),N159&lt;=TODAY()),"Due",IF(AND(F159="Messaged",ISNUMBER(H159),NOT(ISNUMBER(N159)),TODAY()-H159&gt;=3,TODAY()-H159&lt;=14),"Follow up","")))</f>
        <v/>
      </c>
      <c r="P159" s="21" t="n"/>
      <c r="Q159" s="16" t="n"/>
      <c r="R159" s="17" t="n"/>
    </row>
    <row r="160">
      <c r="A160" s="16" t="n"/>
      <c r="B160" s="16" t="n"/>
      <c r="C160" s="16" t="n"/>
      <c r="D160" s="16" t="n"/>
      <c r="E160" s="17" t="n"/>
      <c r="F160" s="16" t="n"/>
      <c r="G160" s="16" t="n"/>
      <c r="H160" s="18" t="n"/>
      <c r="I160" s="19">
        <f>IF(ISNUMBER(H160),H160+3,"")</f>
        <v/>
      </c>
      <c r="J160" s="19">
        <f>IF(ISNUMBER(H160),H160+7,"")</f>
        <v/>
      </c>
      <c r="K160" s="19">
        <f>IF(ISNUMBER(H160),H160+14,"")</f>
        <v/>
      </c>
      <c r="L160" s="18" t="n"/>
      <c r="M160" s="17" t="n"/>
      <c r="N160" s="18" t="n"/>
      <c r="O160" s="20">
        <f>IF(OR(A160="",F160="Won",F160="Lost",F160="Not now"),"",IF(AND(ISNUMBER(N160),N160&lt;=TODAY()),"Due",IF(AND(F160="Messaged",ISNUMBER(H160),NOT(ISNUMBER(N160)),TODAY()-H160&gt;=3,TODAY()-H160&lt;=14),"Follow up","")))</f>
        <v/>
      </c>
      <c r="P160" s="21" t="n"/>
      <c r="Q160" s="16" t="n"/>
      <c r="R160" s="17" t="n"/>
    </row>
    <row r="161">
      <c r="A161" s="16" t="n"/>
      <c r="B161" s="16" t="n"/>
      <c r="C161" s="16" t="n"/>
      <c r="D161" s="16" t="n"/>
      <c r="E161" s="17" t="n"/>
      <c r="F161" s="16" t="n"/>
      <c r="G161" s="16" t="n"/>
      <c r="H161" s="18" t="n"/>
      <c r="I161" s="19">
        <f>IF(ISNUMBER(H161),H161+3,"")</f>
        <v/>
      </c>
      <c r="J161" s="19">
        <f>IF(ISNUMBER(H161),H161+7,"")</f>
        <v/>
      </c>
      <c r="K161" s="19">
        <f>IF(ISNUMBER(H161),H161+14,"")</f>
        <v/>
      </c>
      <c r="L161" s="18" t="n"/>
      <c r="M161" s="17" t="n"/>
      <c r="N161" s="18" t="n"/>
      <c r="O161" s="20">
        <f>IF(OR(A161="",F161="Won",F161="Lost",F161="Not now"),"",IF(AND(ISNUMBER(N161),N161&lt;=TODAY()),"Due",IF(AND(F161="Messaged",ISNUMBER(H161),NOT(ISNUMBER(N161)),TODAY()-H161&gt;=3,TODAY()-H161&lt;=14),"Follow up","")))</f>
        <v/>
      </c>
      <c r="P161" s="21" t="n"/>
      <c r="Q161" s="16" t="n"/>
      <c r="R161" s="17" t="n"/>
    </row>
    <row r="162">
      <c r="A162" s="16" t="n"/>
      <c r="B162" s="16" t="n"/>
      <c r="C162" s="16" t="n"/>
      <c r="D162" s="16" t="n"/>
      <c r="E162" s="17" t="n"/>
      <c r="F162" s="16" t="n"/>
      <c r="G162" s="16" t="n"/>
      <c r="H162" s="18" t="n"/>
      <c r="I162" s="19">
        <f>IF(ISNUMBER(H162),H162+3,"")</f>
        <v/>
      </c>
      <c r="J162" s="19">
        <f>IF(ISNUMBER(H162),H162+7,"")</f>
        <v/>
      </c>
      <c r="K162" s="19">
        <f>IF(ISNUMBER(H162),H162+14,"")</f>
        <v/>
      </c>
      <c r="L162" s="18" t="n"/>
      <c r="M162" s="17" t="n"/>
      <c r="N162" s="18" t="n"/>
      <c r="O162" s="20">
        <f>IF(OR(A162="",F162="Won",F162="Lost",F162="Not now"),"",IF(AND(ISNUMBER(N162),N162&lt;=TODAY()),"Due",IF(AND(F162="Messaged",ISNUMBER(H162),NOT(ISNUMBER(N162)),TODAY()-H162&gt;=3,TODAY()-H162&lt;=14),"Follow up","")))</f>
        <v/>
      </c>
      <c r="P162" s="21" t="n"/>
      <c r="Q162" s="16" t="n"/>
      <c r="R162" s="17" t="n"/>
    </row>
    <row r="163">
      <c r="A163" s="16" t="n"/>
      <c r="B163" s="16" t="n"/>
      <c r="C163" s="16" t="n"/>
      <c r="D163" s="16" t="n"/>
      <c r="E163" s="17" t="n"/>
      <c r="F163" s="16" t="n"/>
      <c r="G163" s="16" t="n"/>
      <c r="H163" s="18" t="n"/>
      <c r="I163" s="19">
        <f>IF(ISNUMBER(H163),H163+3,"")</f>
        <v/>
      </c>
      <c r="J163" s="19">
        <f>IF(ISNUMBER(H163),H163+7,"")</f>
        <v/>
      </c>
      <c r="K163" s="19">
        <f>IF(ISNUMBER(H163),H163+14,"")</f>
        <v/>
      </c>
      <c r="L163" s="18" t="n"/>
      <c r="M163" s="17" t="n"/>
      <c r="N163" s="18" t="n"/>
      <c r="O163" s="20">
        <f>IF(OR(A163="",F163="Won",F163="Lost",F163="Not now"),"",IF(AND(ISNUMBER(N163),N163&lt;=TODAY()),"Due",IF(AND(F163="Messaged",ISNUMBER(H163),NOT(ISNUMBER(N163)),TODAY()-H163&gt;=3,TODAY()-H163&lt;=14),"Follow up","")))</f>
        <v/>
      </c>
      <c r="P163" s="21" t="n"/>
      <c r="Q163" s="16" t="n"/>
      <c r="R163" s="17" t="n"/>
    </row>
    <row r="164">
      <c r="A164" s="16" t="n"/>
      <c r="B164" s="16" t="n"/>
      <c r="C164" s="16" t="n"/>
      <c r="D164" s="16" t="n"/>
      <c r="E164" s="17" t="n"/>
      <c r="F164" s="16" t="n"/>
      <c r="G164" s="16" t="n"/>
      <c r="H164" s="18" t="n"/>
      <c r="I164" s="19">
        <f>IF(ISNUMBER(H164),H164+3,"")</f>
        <v/>
      </c>
      <c r="J164" s="19">
        <f>IF(ISNUMBER(H164),H164+7,"")</f>
        <v/>
      </c>
      <c r="K164" s="19">
        <f>IF(ISNUMBER(H164),H164+14,"")</f>
        <v/>
      </c>
      <c r="L164" s="18" t="n"/>
      <c r="M164" s="17" t="n"/>
      <c r="N164" s="18" t="n"/>
      <c r="O164" s="20">
        <f>IF(OR(A164="",F164="Won",F164="Lost",F164="Not now"),"",IF(AND(ISNUMBER(N164),N164&lt;=TODAY()),"Due",IF(AND(F164="Messaged",ISNUMBER(H164),NOT(ISNUMBER(N164)),TODAY()-H164&gt;=3,TODAY()-H164&lt;=14),"Follow up","")))</f>
        <v/>
      </c>
      <c r="P164" s="21" t="n"/>
      <c r="Q164" s="16" t="n"/>
      <c r="R164" s="17" t="n"/>
    </row>
    <row r="165">
      <c r="A165" s="16" t="n"/>
      <c r="B165" s="16" t="n"/>
      <c r="C165" s="16" t="n"/>
      <c r="D165" s="16" t="n"/>
      <c r="E165" s="17" t="n"/>
      <c r="F165" s="16" t="n"/>
      <c r="G165" s="16" t="n"/>
      <c r="H165" s="18" t="n"/>
      <c r="I165" s="19">
        <f>IF(ISNUMBER(H165),H165+3,"")</f>
        <v/>
      </c>
      <c r="J165" s="19">
        <f>IF(ISNUMBER(H165),H165+7,"")</f>
        <v/>
      </c>
      <c r="K165" s="19">
        <f>IF(ISNUMBER(H165),H165+14,"")</f>
        <v/>
      </c>
      <c r="L165" s="18" t="n"/>
      <c r="M165" s="17" t="n"/>
      <c r="N165" s="18" t="n"/>
      <c r="O165" s="20">
        <f>IF(OR(A165="",F165="Won",F165="Lost",F165="Not now"),"",IF(AND(ISNUMBER(N165),N165&lt;=TODAY()),"Due",IF(AND(F165="Messaged",ISNUMBER(H165),NOT(ISNUMBER(N165)),TODAY()-H165&gt;=3,TODAY()-H165&lt;=14),"Follow up","")))</f>
        <v/>
      </c>
      <c r="P165" s="21" t="n"/>
      <c r="Q165" s="16" t="n"/>
      <c r="R165" s="17" t="n"/>
    </row>
    <row r="166">
      <c r="A166" s="16" t="n"/>
      <c r="B166" s="16" t="n"/>
      <c r="C166" s="16" t="n"/>
      <c r="D166" s="16" t="n"/>
      <c r="E166" s="17" t="n"/>
      <c r="F166" s="16" t="n"/>
      <c r="G166" s="16" t="n"/>
      <c r="H166" s="18" t="n"/>
      <c r="I166" s="19">
        <f>IF(ISNUMBER(H166),H166+3,"")</f>
        <v/>
      </c>
      <c r="J166" s="19">
        <f>IF(ISNUMBER(H166),H166+7,"")</f>
        <v/>
      </c>
      <c r="K166" s="19">
        <f>IF(ISNUMBER(H166),H166+14,"")</f>
        <v/>
      </c>
      <c r="L166" s="18" t="n"/>
      <c r="M166" s="17" t="n"/>
      <c r="N166" s="18" t="n"/>
      <c r="O166" s="20">
        <f>IF(OR(A166="",F166="Won",F166="Lost",F166="Not now"),"",IF(AND(ISNUMBER(N166),N166&lt;=TODAY()),"Due",IF(AND(F166="Messaged",ISNUMBER(H166),NOT(ISNUMBER(N166)),TODAY()-H166&gt;=3,TODAY()-H166&lt;=14),"Follow up","")))</f>
        <v/>
      </c>
      <c r="P166" s="21" t="n"/>
      <c r="Q166" s="16" t="n"/>
      <c r="R166" s="17" t="n"/>
    </row>
    <row r="167">
      <c r="A167" s="16" t="n"/>
      <c r="B167" s="16" t="n"/>
      <c r="C167" s="16" t="n"/>
      <c r="D167" s="16" t="n"/>
      <c r="E167" s="17" t="n"/>
      <c r="F167" s="16" t="n"/>
      <c r="G167" s="16" t="n"/>
      <c r="H167" s="18" t="n"/>
      <c r="I167" s="19">
        <f>IF(ISNUMBER(H167),H167+3,"")</f>
        <v/>
      </c>
      <c r="J167" s="19">
        <f>IF(ISNUMBER(H167),H167+7,"")</f>
        <v/>
      </c>
      <c r="K167" s="19">
        <f>IF(ISNUMBER(H167),H167+14,"")</f>
        <v/>
      </c>
      <c r="L167" s="18" t="n"/>
      <c r="M167" s="17" t="n"/>
      <c r="N167" s="18" t="n"/>
      <c r="O167" s="20">
        <f>IF(OR(A167="",F167="Won",F167="Lost",F167="Not now"),"",IF(AND(ISNUMBER(N167),N167&lt;=TODAY()),"Due",IF(AND(F167="Messaged",ISNUMBER(H167),NOT(ISNUMBER(N167)),TODAY()-H167&gt;=3,TODAY()-H167&lt;=14),"Follow up","")))</f>
        <v/>
      </c>
      <c r="P167" s="21" t="n"/>
      <c r="Q167" s="16" t="n"/>
      <c r="R167" s="17" t="n"/>
    </row>
    <row r="168">
      <c r="A168" s="16" t="n"/>
      <c r="B168" s="16" t="n"/>
      <c r="C168" s="16" t="n"/>
      <c r="D168" s="16" t="n"/>
      <c r="E168" s="17" t="n"/>
      <c r="F168" s="16" t="n"/>
      <c r="G168" s="16" t="n"/>
      <c r="H168" s="18" t="n"/>
      <c r="I168" s="19">
        <f>IF(ISNUMBER(H168),H168+3,"")</f>
        <v/>
      </c>
      <c r="J168" s="19">
        <f>IF(ISNUMBER(H168),H168+7,"")</f>
        <v/>
      </c>
      <c r="K168" s="19">
        <f>IF(ISNUMBER(H168),H168+14,"")</f>
        <v/>
      </c>
      <c r="L168" s="18" t="n"/>
      <c r="M168" s="17" t="n"/>
      <c r="N168" s="18" t="n"/>
      <c r="O168" s="20">
        <f>IF(OR(A168="",F168="Won",F168="Lost",F168="Not now"),"",IF(AND(ISNUMBER(N168),N168&lt;=TODAY()),"Due",IF(AND(F168="Messaged",ISNUMBER(H168),NOT(ISNUMBER(N168)),TODAY()-H168&gt;=3,TODAY()-H168&lt;=14),"Follow up","")))</f>
        <v/>
      </c>
      <c r="P168" s="21" t="n"/>
      <c r="Q168" s="16" t="n"/>
      <c r="R168" s="17" t="n"/>
    </row>
    <row r="169">
      <c r="A169" s="16" t="n"/>
      <c r="B169" s="16" t="n"/>
      <c r="C169" s="16" t="n"/>
      <c r="D169" s="16" t="n"/>
      <c r="E169" s="17" t="n"/>
      <c r="F169" s="16" t="n"/>
      <c r="G169" s="16" t="n"/>
      <c r="H169" s="18" t="n"/>
      <c r="I169" s="19">
        <f>IF(ISNUMBER(H169),H169+3,"")</f>
        <v/>
      </c>
      <c r="J169" s="19">
        <f>IF(ISNUMBER(H169),H169+7,"")</f>
        <v/>
      </c>
      <c r="K169" s="19">
        <f>IF(ISNUMBER(H169),H169+14,"")</f>
        <v/>
      </c>
      <c r="L169" s="18" t="n"/>
      <c r="M169" s="17" t="n"/>
      <c r="N169" s="18" t="n"/>
      <c r="O169" s="20">
        <f>IF(OR(A169="",F169="Won",F169="Lost",F169="Not now"),"",IF(AND(ISNUMBER(N169),N169&lt;=TODAY()),"Due",IF(AND(F169="Messaged",ISNUMBER(H169),NOT(ISNUMBER(N169)),TODAY()-H169&gt;=3,TODAY()-H169&lt;=14),"Follow up","")))</f>
        <v/>
      </c>
      <c r="P169" s="21" t="n"/>
      <c r="Q169" s="16" t="n"/>
      <c r="R169" s="17" t="n"/>
    </row>
    <row r="170">
      <c r="A170" s="16" t="n"/>
      <c r="B170" s="16" t="n"/>
      <c r="C170" s="16" t="n"/>
      <c r="D170" s="16" t="n"/>
      <c r="E170" s="17" t="n"/>
      <c r="F170" s="16" t="n"/>
      <c r="G170" s="16" t="n"/>
      <c r="H170" s="18" t="n"/>
      <c r="I170" s="19">
        <f>IF(ISNUMBER(H170),H170+3,"")</f>
        <v/>
      </c>
      <c r="J170" s="19">
        <f>IF(ISNUMBER(H170),H170+7,"")</f>
        <v/>
      </c>
      <c r="K170" s="19">
        <f>IF(ISNUMBER(H170),H170+14,"")</f>
        <v/>
      </c>
      <c r="L170" s="18" t="n"/>
      <c r="M170" s="17" t="n"/>
      <c r="N170" s="18" t="n"/>
      <c r="O170" s="20">
        <f>IF(OR(A170="",F170="Won",F170="Lost",F170="Not now"),"",IF(AND(ISNUMBER(N170),N170&lt;=TODAY()),"Due",IF(AND(F170="Messaged",ISNUMBER(H170),NOT(ISNUMBER(N170)),TODAY()-H170&gt;=3,TODAY()-H170&lt;=14),"Follow up","")))</f>
        <v/>
      </c>
      <c r="P170" s="21" t="n"/>
      <c r="Q170" s="16" t="n"/>
      <c r="R170" s="17" t="n"/>
    </row>
    <row r="171">
      <c r="A171" s="16" t="n"/>
      <c r="B171" s="16" t="n"/>
      <c r="C171" s="16" t="n"/>
      <c r="D171" s="16" t="n"/>
      <c r="E171" s="17" t="n"/>
      <c r="F171" s="16" t="n"/>
      <c r="G171" s="16" t="n"/>
      <c r="H171" s="18" t="n"/>
      <c r="I171" s="19">
        <f>IF(ISNUMBER(H171),H171+3,"")</f>
        <v/>
      </c>
      <c r="J171" s="19">
        <f>IF(ISNUMBER(H171),H171+7,"")</f>
        <v/>
      </c>
      <c r="K171" s="19">
        <f>IF(ISNUMBER(H171),H171+14,"")</f>
        <v/>
      </c>
      <c r="L171" s="18" t="n"/>
      <c r="M171" s="17" t="n"/>
      <c r="N171" s="18" t="n"/>
      <c r="O171" s="20">
        <f>IF(OR(A171="",F171="Won",F171="Lost",F171="Not now"),"",IF(AND(ISNUMBER(N171),N171&lt;=TODAY()),"Due",IF(AND(F171="Messaged",ISNUMBER(H171),NOT(ISNUMBER(N171)),TODAY()-H171&gt;=3,TODAY()-H171&lt;=14),"Follow up","")))</f>
        <v/>
      </c>
      <c r="P171" s="21" t="n"/>
      <c r="Q171" s="16" t="n"/>
      <c r="R171" s="17" t="n"/>
    </row>
    <row r="172">
      <c r="A172" s="16" t="n"/>
      <c r="B172" s="16" t="n"/>
      <c r="C172" s="16" t="n"/>
      <c r="D172" s="16" t="n"/>
      <c r="E172" s="17" t="n"/>
      <c r="F172" s="16" t="n"/>
      <c r="G172" s="16" t="n"/>
      <c r="H172" s="18" t="n"/>
      <c r="I172" s="19">
        <f>IF(ISNUMBER(H172),H172+3,"")</f>
        <v/>
      </c>
      <c r="J172" s="19">
        <f>IF(ISNUMBER(H172),H172+7,"")</f>
        <v/>
      </c>
      <c r="K172" s="19">
        <f>IF(ISNUMBER(H172),H172+14,"")</f>
        <v/>
      </c>
      <c r="L172" s="18" t="n"/>
      <c r="M172" s="17" t="n"/>
      <c r="N172" s="18" t="n"/>
      <c r="O172" s="20">
        <f>IF(OR(A172="",F172="Won",F172="Lost",F172="Not now"),"",IF(AND(ISNUMBER(N172),N172&lt;=TODAY()),"Due",IF(AND(F172="Messaged",ISNUMBER(H172),NOT(ISNUMBER(N172)),TODAY()-H172&gt;=3,TODAY()-H172&lt;=14),"Follow up","")))</f>
        <v/>
      </c>
      <c r="P172" s="21" t="n"/>
      <c r="Q172" s="16" t="n"/>
      <c r="R172" s="17" t="n"/>
    </row>
    <row r="173">
      <c r="A173" s="16" t="n"/>
      <c r="B173" s="16" t="n"/>
      <c r="C173" s="16" t="n"/>
      <c r="D173" s="16" t="n"/>
      <c r="E173" s="17" t="n"/>
      <c r="F173" s="16" t="n"/>
      <c r="G173" s="16" t="n"/>
      <c r="H173" s="18" t="n"/>
      <c r="I173" s="19">
        <f>IF(ISNUMBER(H173),H173+3,"")</f>
        <v/>
      </c>
      <c r="J173" s="19">
        <f>IF(ISNUMBER(H173),H173+7,"")</f>
        <v/>
      </c>
      <c r="K173" s="19">
        <f>IF(ISNUMBER(H173),H173+14,"")</f>
        <v/>
      </c>
      <c r="L173" s="18" t="n"/>
      <c r="M173" s="17" t="n"/>
      <c r="N173" s="18" t="n"/>
      <c r="O173" s="20">
        <f>IF(OR(A173="",F173="Won",F173="Lost",F173="Not now"),"",IF(AND(ISNUMBER(N173),N173&lt;=TODAY()),"Due",IF(AND(F173="Messaged",ISNUMBER(H173),NOT(ISNUMBER(N173)),TODAY()-H173&gt;=3,TODAY()-H173&lt;=14),"Follow up","")))</f>
        <v/>
      </c>
      <c r="P173" s="21" t="n"/>
      <c r="Q173" s="16" t="n"/>
      <c r="R173" s="17" t="n"/>
    </row>
    <row r="174">
      <c r="A174" s="16" t="n"/>
      <c r="B174" s="16" t="n"/>
      <c r="C174" s="16" t="n"/>
      <c r="D174" s="16" t="n"/>
      <c r="E174" s="17" t="n"/>
      <c r="F174" s="16" t="n"/>
      <c r="G174" s="16" t="n"/>
      <c r="H174" s="18" t="n"/>
      <c r="I174" s="19">
        <f>IF(ISNUMBER(H174),H174+3,"")</f>
        <v/>
      </c>
      <c r="J174" s="19">
        <f>IF(ISNUMBER(H174),H174+7,"")</f>
        <v/>
      </c>
      <c r="K174" s="19">
        <f>IF(ISNUMBER(H174),H174+14,"")</f>
        <v/>
      </c>
      <c r="L174" s="18" t="n"/>
      <c r="M174" s="17" t="n"/>
      <c r="N174" s="18" t="n"/>
      <c r="O174" s="20">
        <f>IF(OR(A174="",F174="Won",F174="Lost",F174="Not now"),"",IF(AND(ISNUMBER(N174),N174&lt;=TODAY()),"Due",IF(AND(F174="Messaged",ISNUMBER(H174),NOT(ISNUMBER(N174)),TODAY()-H174&gt;=3,TODAY()-H174&lt;=14),"Follow up","")))</f>
        <v/>
      </c>
      <c r="P174" s="21" t="n"/>
      <c r="Q174" s="16" t="n"/>
      <c r="R174" s="17" t="n"/>
    </row>
    <row r="175">
      <c r="A175" s="16" t="n"/>
      <c r="B175" s="16" t="n"/>
      <c r="C175" s="16" t="n"/>
      <c r="D175" s="16" t="n"/>
      <c r="E175" s="17" t="n"/>
      <c r="F175" s="16" t="n"/>
      <c r="G175" s="16" t="n"/>
      <c r="H175" s="18" t="n"/>
      <c r="I175" s="19">
        <f>IF(ISNUMBER(H175),H175+3,"")</f>
        <v/>
      </c>
      <c r="J175" s="19">
        <f>IF(ISNUMBER(H175),H175+7,"")</f>
        <v/>
      </c>
      <c r="K175" s="19">
        <f>IF(ISNUMBER(H175),H175+14,"")</f>
        <v/>
      </c>
      <c r="L175" s="18" t="n"/>
      <c r="M175" s="17" t="n"/>
      <c r="N175" s="18" t="n"/>
      <c r="O175" s="20">
        <f>IF(OR(A175="",F175="Won",F175="Lost",F175="Not now"),"",IF(AND(ISNUMBER(N175),N175&lt;=TODAY()),"Due",IF(AND(F175="Messaged",ISNUMBER(H175),NOT(ISNUMBER(N175)),TODAY()-H175&gt;=3,TODAY()-H175&lt;=14),"Follow up","")))</f>
        <v/>
      </c>
      <c r="P175" s="21" t="n"/>
      <c r="Q175" s="16" t="n"/>
      <c r="R175" s="17" t="n"/>
    </row>
    <row r="176">
      <c r="A176" s="16" t="n"/>
      <c r="B176" s="16" t="n"/>
      <c r="C176" s="16" t="n"/>
      <c r="D176" s="16" t="n"/>
      <c r="E176" s="17" t="n"/>
      <c r="F176" s="16" t="n"/>
      <c r="G176" s="16" t="n"/>
      <c r="H176" s="18" t="n"/>
      <c r="I176" s="19">
        <f>IF(ISNUMBER(H176),H176+3,"")</f>
        <v/>
      </c>
      <c r="J176" s="19">
        <f>IF(ISNUMBER(H176),H176+7,"")</f>
        <v/>
      </c>
      <c r="K176" s="19">
        <f>IF(ISNUMBER(H176),H176+14,"")</f>
        <v/>
      </c>
      <c r="L176" s="18" t="n"/>
      <c r="M176" s="17" t="n"/>
      <c r="N176" s="18" t="n"/>
      <c r="O176" s="20">
        <f>IF(OR(A176="",F176="Won",F176="Lost",F176="Not now"),"",IF(AND(ISNUMBER(N176),N176&lt;=TODAY()),"Due",IF(AND(F176="Messaged",ISNUMBER(H176),NOT(ISNUMBER(N176)),TODAY()-H176&gt;=3,TODAY()-H176&lt;=14),"Follow up","")))</f>
        <v/>
      </c>
      <c r="P176" s="21" t="n"/>
      <c r="Q176" s="16" t="n"/>
      <c r="R176" s="17" t="n"/>
    </row>
    <row r="177">
      <c r="A177" s="16" t="n"/>
      <c r="B177" s="16" t="n"/>
      <c r="C177" s="16" t="n"/>
      <c r="D177" s="16" t="n"/>
      <c r="E177" s="17" t="n"/>
      <c r="F177" s="16" t="n"/>
      <c r="G177" s="16" t="n"/>
      <c r="H177" s="18" t="n"/>
      <c r="I177" s="19">
        <f>IF(ISNUMBER(H177),H177+3,"")</f>
        <v/>
      </c>
      <c r="J177" s="19">
        <f>IF(ISNUMBER(H177),H177+7,"")</f>
        <v/>
      </c>
      <c r="K177" s="19">
        <f>IF(ISNUMBER(H177),H177+14,"")</f>
        <v/>
      </c>
      <c r="L177" s="18" t="n"/>
      <c r="M177" s="17" t="n"/>
      <c r="N177" s="18" t="n"/>
      <c r="O177" s="20">
        <f>IF(OR(A177="",F177="Won",F177="Lost",F177="Not now"),"",IF(AND(ISNUMBER(N177),N177&lt;=TODAY()),"Due",IF(AND(F177="Messaged",ISNUMBER(H177),NOT(ISNUMBER(N177)),TODAY()-H177&gt;=3,TODAY()-H177&lt;=14),"Follow up","")))</f>
        <v/>
      </c>
      <c r="P177" s="21" t="n"/>
      <c r="Q177" s="16" t="n"/>
      <c r="R177" s="17" t="n"/>
    </row>
    <row r="178">
      <c r="A178" s="16" t="n"/>
      <c r="B178" s="16" t="n"/>
      <c r="C178" s="16" t="n"/>
      <c r="D178" s="16" t="n"/>
      <c r="E178" s="17" t="n"/>
      <c r="F178" s="16" t="n"/>
      <c r="G178" s="16" t="n"/>
      <c r="H178" s="18" t="n"/>
      <c r="I178" s="19">
        <f>IF(ISNUMBER(H178),H178+3,"")</f>
        <v/>
      </c>
      <c r="J178" s="19">
        <f>IF(ISNUMBER(H178),H178+7,"")</f>
        <v/>
      </c>
      <c r="K178" s="19">
        <f>IF(ISNUMBER(H178),H178+14,"")</f>
        <v/>
      </c>
      <c r="L178" s="18" t="n"/>
      <c r="M178" s="17" t="n"/>
      <c r="N178" s="18" t="n"/>
      <c r="O178" s="20">
        <f>IF(OR(A178="",F178="Won",F178="Lost",F178="Not now"),"",IF(AND(ISNUMBER(N178),N178&lt;=TODAY()),"Due",IF(AND(F178="Messaged",ISNUMBER(H178),NOT(ISNUMBER(N178)),TODAY()-H178&gt;=3,TODAY()-H178&lt;=14),"Follow up","")))</f>
        <v/>
      </c>
      <c r="P178" s="21" t="n"/>
      <c r="Q178" s="16" t="n"/>
      <c r="R178" s="17" t="n"/>
    </row>
    <row r="179">
      <c r="A179" s="16" t="n"/>
      <c r="B179" s="16" t="n"/>
      <c r="C179" s="16" t="n"/>
      <c r="D179" s="16" t="n"/>
      <c r="E179" s="17" t="n"/>
      <c r="F179" s="16" t="n"/>
      <c r="G179" s="16" t="n"/>
      <c r="H179" s="18" t="n"/>
      <c r="I179" s="19">
        <f>IF(ISNUMBER(H179),H179+3,"")</f>
        <v/>
      </c>
      <c r="J179" s="19">
        <f>IF(ISNUMBER(H179),H179+7,"")</f>
        <v/>
      </c>
      <c r="K179" s="19">
        <f>IF(ISNUMBER(H179),H179+14,"")</f>
        <v/>
      </c>
      <c r="L179" s="18" t="n"/>
      <c r="M179" s="17" t="n"/>
      <c r="N179" s="18" t="n"/>
      <c r="O179" s="20">
        <f>IF(OR(A179="",F179="Won",F179="Lost",F179="Not now"),"",IF(AND(ISNUMBER(N179),N179&lt;=TODAY()),"Due",IF(AND(F179="Messaged",ISNUMBER(H179),NOT(ISNUMBER(N179)),TODAY()-H179&gt;=3,TODAY()-H179&lt;=14),"Follow up","")))</f>
        <v/>
      </c>
      <c r="P179" s="21" t="n"/>
      <c r="Q179" s="16" t="n"/>
      <c r="R179" s="17" t="n"/>
    </row>
    <row r="180">
      <c r="A180" s="16" t="n"/>
      <c r="B180" s="16" t="n"/>
      <c r="C180" s="16" t="n"/>
      <c r="D180" s="16" t="n"/>
      <c r="E180" s="17" t="n"/>
      <c r="F180" s="16" t="n"/>
      <c r="G180" s="16" t="n"/>
      <c r="H180" s="18" t="n"/>
      <c r="I180" s="19">
        <f>IF(ISNUMBER(H180),H180+3,"")</f>
        <v/>
      </c>
      <c r="J180" s="19">
        <f>IF(ISNUMBER(H180),H180+7,"")</f>
        <v/>
      </c>
      <c r="K180" s="19">
        <f>IF(ISNUMBER(H180),H180+14,"")</f>
        <v/>
      </c>
      <c r="L180" s="18" t="n"/>
      <c r="M180" s="17" t="n"/>
      <c r="N180" s="18" t="n"/>
      <c r="O180" s="20">
        <f>IF(OR(A180="",F180="Won",F180="Lost",F180="Not now"),"",IF(AND(ISNUMBER(N180),N180&lt;=TODAY()),"Due",IF(AND(F180="Messaged",ISNUMBER(H180),NOT(ISNUMBER(N180)),TODAY()-H180&gt;=3,TODAY()-H180&lt;=14),"Follow up","")))</f>
        <v/>
      </c>
      <c r="P180" s="21" t="n"/>
      <c r="Q180" s="16" t="n"/>
      <c r="R180" s="17" t="n"/>
    </row>
    <row r="181">
      <c r="A181" s="16" t="n"/>
      <c r="B181" s="16" t="n"/>
      <c r="C181" s="16" t="n"/>
      <c r="D181" s="16" t="n"/>
      <c r="E181" s="17" t="n"/>
      <c r="F181" s="16" t="n"/>
      <c r="G181" s="16" t="n"/>
      <c r="H181" s="18" t="n"/>
      <c r="I181" s="19">
        <f>IF(ISNUMBER(H181),H181+3,"")</f>
        <v/>
      </c>
      <c r="J181" s="19">
        <f>IF(ISNUMBER(H181),H181+7,"")</f>
        <v/>
      </c>
      <c r="K181" s="19">
        <f>IF(ISNUMBER(H181),H181+14,"")</f>
        <v/>
      </c>
      <c r="L181" s="18" t="n"/>
      <c r="M181" s="17" t="n"/>
      <c r="N181" s="18" t="n"/>
      <c r="O181" s="20">
        <f>IF(OR(A181="",F181="Won",F181="Lost",F181="Not now"),"",IF(AND(ISNUMBER(N181),N181&lt;=TODAY()),"Due",IF(AND(F181="Messaged",ISNUMBER(H181),NOT(ISNUMBER(N181)),TODAY()-H181&gt;=3,TODAY()-H181&lt;=14),"Follow up","")))</f>
        <v/>
      </c>
      <c r="P181" s="21" t="n"/>
      <c r="Q181" s="16" t="n"/>
      <c r="R181" s="17" t="n"/>
    </row>
    <row r="182">
      <c r="A182" s="16" t="n"/>
      <c r="B182" s="16" t="n"/>
      <c r="C182" s="16" t="n"/>
      <c r="D182" s="16" t="n"/>
      <c r="E182" s="17" t="n"/>
      <c r="F182" s="16" t="n"/>
      <c r="G182" s="16" t="n"/>
      <c r="H182" s="18" t="n"/>
      <c r="I182" s="19">
        <f>IF(ISNUMBER(H182),H182+3,"")</f>
        <v/>
      </c>
      <c r="J182" s="19">
        <f>IF(ISNUMBER(H182),H182+7,"")</f>
        <v/>
      </c>
      <c r="K182" s="19">
        <f>IF(ISNUMBER(H182),H182+14,"")</f>
        <v/>
      </c>
      <c r="L182" s="18" t="n"/>
      <c r="M182" s="17" t="n"/>
      <c r="N182" s="18" t="n"/>
      <c r="O182" s="20">
        <f>IF(OR(A182="",F182="Won",F182="Lost",F182="Not now"),"",IF(AND(ISNUMBER(N182),N182&lt;=TODAY()),"Due",IF(AND(F182="Messaged",ISNUMBER(H182),NOT(ISNUMBER(N182)),TODAY()-H182&gt;=3,TODAY()-H182&lt;=14),"Follow up","")))</f>
        <v/>
      </c>
      <c r="P182" s="21" t="n"/>
      <c r="Q182" s="16" t="n"/>
      <c r="R182" s="17" t="n"/>
    </row>
    <row r="183">
      <c r="A183" s="16" t="n"/>
      <c r="B183" s="16" t="n"/>
      <c r="C183" s="16" t="n"/>
      <c r="D183" s="16" t="n"/>
      <c r="E183" s="17" t="n"/>
      <c r="F183" s="16" t="n"/>
      <c r="G183" s="16" t="n"/>
      <c r="H183" s="18" t="n"/>
      <c r="I183" s="19">
        <f>IF(ISNUMBER(H183),H183+3,"")</f>
        <v/>
      </c>
      <c r="J183" s="19">
        <f>IF(ISNUMBER(H183),H183+7,"")</f>
        <v/>
      </c>
      <c r="K183" s="19">
        <f>IF(ISNUMBER(H183),H183+14,"")</f>
        <v/>
      </c>
      <c r="L183" s="18" t="n"/>
      <c r="M183" s="17" t="n"/>
      <c r="N183" s="18" t="n"/>
      <c r="O183" s="20">
        <f>IF(OR(A183="",F183="Won",F183="Lost",F183="Not now"),"",IF(AND(ISNUMBER(N183),N183&lt;=TODAY()),"Due",IF(AND(F183="Messaged",ISNUMBER(H183),NOT(ISNUMBER(N183)),TODAY()-H183&gt;=3,TODAY()-H183&lt;=14),"Follow up","")))</f>
        <v/>
      </c>
      <c r="P183" s="21" t="n"/>
      <c r="Q183" s="16" t="n"/>
      <c r="R183" s="17" t="n"/>
    </row>
    <row r="184">
      <c r="A184" s="16" t="n"/>
      <c r="B184" s="16" t="n"/>
      <c r="C184" s="16" t="n"/>
      <c r="D184" s="16" t="n"/>
      <c r="E184" s="17" t="n"/>
      <c r="F184" s="16" t="n"/>
      <c r="G184" s="16" t="n"/>
      <c r="H184" s="18" t="n"/>
      <c r="I184" s="19">
        <f>IF(ISNUMBER(H184),H184+3,"")</f>
        <v/>
      </c>
      <c r="J184" s="19">
        <f>IF(ISNUMBER(H184),H184+7,"")</f>
        <v/>
      </c>
      <c r="K184" s="19">
        <f>IF(ISNUMBER(H184),H184+14,"")</f>
        <v/>
      </c>
      <c r="L184" s="18" t="n"/>
      <c r="M184" s="17" t="n"/>
      <c r="N184" s="18" t="n"/>
      <c r="O184" s="20">
        <f>IF(OR(A184="",F184="Won",F184="Lost",F184="Not now"),"",IF(AND(ISNUMBER(N184),N184&lt;=TODAY()),"Due",IF(AND(F184="Messaged",ISNUMBER(H184),NOT(ISNUMBER(N184)),TODAY()-H184&gt;=3,TODAY()-H184&lt;=14),"Follow up","")))</f>
        <v/>
      </c>
      <c r="P184" s="21" t="n"/>
      <c r="Q184" s="16" t="n"/>
      <c r="R184" s="17" t="n"/>
    </row>
    <row r="185">
      <c r="A185" s="16" t="n"/>
      <c r="B185" s="16" t="n"/>
      <c r="C185" s="16" t="n"/>
      <c r="D185" s="16" t="n"/>
      <c r="E185" s="17" t="n"/>
      <c r="F185" s="16" t="n"/>
      <c r="G185" s="16" t="n"/>
      <c r="H185" s="18" t="n"/>
      <c r="I185" s="19">
        <f>IF(ISNUMBER(H185),H185+3,"")</f>
        <v/>
      </c>
      <c r="J185" s="19">
        <f>IF(ISNUMBER(H185),H185+7,"")</f>
        <v/>
      </c>
      <c r="K185" s="19">
        <f>IF(ISNUMBER(H185),H185+14,"")</f>
        <v/>
      </c>
      <c r="L185" s="18" t="n"/>
      <c r="M185" s="17" t="n"/>
      <c r="N185" s="18" t="n"/>
      <c r="O185" s="20">
        <f>IF(OR(A185="",F185="Won",F185="Lost",F185="Not now"),"",IF(AND(ISNUMBER(N185),N185&lt;=TODAY()),"Due",IF(AND(F185="Messaged",ISNUMBER(H185),NOT(ISNUMBER(N185)),TODAY()-H185&gt;=3,TODAY()-H185&lt;=14),"Follow up","")))</f>
        <v/>
      </c>
      <c r="P185" s="21" t="n"/>
      <c r="Q185" s="16" t="n"/>
      <c r="R185" s="17" t="n"/>
    </row>
    <row r="186">
      <c r="A186" s="16" t="n"/>
      <c r="B186" s="16" t="n"/>
      <c r="C186" s="16" t="n"/>
      <c r="D186" s="16" t="n"/>
      <c r="E186" s="17" t="n"/>
      <c r="F186" s="16" t="n"/>
      <c r="G186" s="16" t="n"/>
      <c r="H186" s="18" t="n"/>
      <c r="I186" s="19">
        <f>IF(ISNUMBER(H186),H186+3,"")</f>
        <v/>
      </c>
      <c r="J186" s="19">
        <f>IF(ISNUMBER(H186),H186+7,"")</f>
        <v/>
      </c>
      <c r="K186" s="19">
        <f>IF(ISNUMBER(H186),H186+14,"")</f>
        <v/>
      </c>
      <c r="L186" s="18" t="n"/>
      <c r="M186" s="17" t="n"/>
      <c r="N186" s="18" t="n"/>
      <c r="O186" s="20">
        <f>IF(OR(A186="",F186="Won",F186="Lost",F186="Not now"),"",IF(AND(ISNUMBER(N186),N186&lt;=TODAY()),"Due",IF(AND(F186="Messaged",ISNUMBER(H186),NOT(ISNUMBER(N186)),TODAY()-H186&gt;=3,TODAY()-H186&lt;=14),"Follow up","")))</f>
        <v/>
      </c>
      <c r="P186" s="21" t="n"/>
      <c r="Q186" s="16" t="n"/>
      <c r="R186" s="17" t="n"/>
    </row>
    <row r="187">
      <c r="A187" s="16" t="n"/>
      <c r="B187" s="16" t="n"/>
      <c r="C187" s="16" t="n"/>
      <c r="D187" s="16" t="n"/>
      <c r="E187" s="17" t="n"/>
      <c r="F187" s="16" t="n"/>
      <c r="G187" s="16" t="n"/>
      <c r="H187" s="18" t="n"/>
      <c r="I187" s="19">
        <f>IF(ISNUMBER(H187),H187+3,"")</f>
        <v/>
      </c>
      <c r="J187" s="19">
        <f>IF(ISNUMBER(H187),H187+7,"")</f>
        <v/>
      </c>
      <c r="K187" s="19">
        <f>IF(ISNUMBER(H187),H187+14,"")</f>
        <v/>
      </c>
      <c r="L187" s="18" t="n"/>
      <c r="M187" s="17" t="n"/>
      <c r="N187" s="18" t="n"/>
      <c r="O187" s="20">
        <f>IF(OR(A187="",F187="Won",F187="Lost",F187="Not now"),"",IF(AND(ISNUMBER(N187),N187&lt;=TODAY()),"Due",IF(AND(F187="Messaged",ISNUMBER(H187),NOT(ISNUMBER(N187)),TODAY()-H187&gt;=3,TODAY()-H187&lt;=14),"Follow up","")))</f>
        <v/>
      </c>
      <c r="P187" s="21" t="n"/>
      <c r="Q187" s="16" t="n"/>
      <c r="R187" s="17" t="n"/>
    </row>
    <row r="188">
      <c r="A188" s="16" t="n"/>
      <c r="B188" s="16" t="n"/>
      <c r="C188" s="16" t="n"/>
      <c r="D188" s="16" t="n"/>
      <c r="E188" s="17" t="n"/>
      <c r="F188" s="16" t="n"/>
      <c r="G188" s="16" t="n"/>
      <c r="H188" s="18" t="n"/>
      <c r="I188" s="19">
        <f>IF(ISNUMBER(H188),H188+3,"")</f>
        <v/>
      </c>
      <c r="J188" s="19">
        <f>IF(ISNUMBER(H188),H188+7,"")</f>
        <v/>
      </c>
      <c r="K188" s="19">
        <f>IF(ISNUMBER(H188),H188+14,"")</f>
        <v/>
      </c>
      <c r="L188" s="18" t="n"/>
      <c r="M188" s="17" t="n"/>
      <c r="N188" s="18" t="n"/>
      <c r="O188" s="20">
        <f>IF(OR(A188="",F188="Won",F188="Lost",F188="Not now"),"",IF(AND(ISNUMBER(N188),N188&lt;=TODAY()),"Due",IF(AND(F188="Messaged",ISNUMBER(H188),NOT(ISNUMBER(N188)),TODAY()-H188&gt;=3,TODAY()-H188&lt;=14),"Follow up","")))</f>
        <v/>
      </c>
      <c r="P188" s="21" t="n"/>
      <c r="Q188" s="16" t="n"/>
      <c r="R188" s="17" t="n"/>
    </row>
    <row r="189">
      <c r="A189" s="16" t="n"/>
      <c r="B189" s="16" t="n"/>
      <c r="C189" s="16" t="n"/>
      <c r="D189" s="16" t="n"/>
      <c r="E189" s="17" t="n"/>
      <c r="F189" s="16" t="n"/>
      <c r="G189" s="16" t="n"/>
      <c r="H189" s="18" t="n"/>
      <c r="I189" s="19">
        <f>IF(ISNUMBER(H189),H189+3,"")</f>
        <v/>
      </c>
      <c r="J189" s="19">
        <f>IF(ISNUMBER(H189),H189+7,"")</f>
        <v/>
      </c>
      <c r="K189" s="19">
        <f>IF(ISNUMBER(H189),H189+14,"")</f>
        <v/>
      </c>
      <c r="L189" s="18" t="n"/>
      <c r="M189" s="17" t="n"/>
      <c r="N189" s="18" t="n"/>
      <c r="O189" s="20">
        <f>IF(OR(A189="",F189="Won",F189="Lost",F189="Not now"),"",IF(AND(ISNUMBER(N189),N189&lt;=TODAY()),"Due",IF(AND(F189="Messaged",ISNUMBER(H189),NOT(ISNUMBER(N189)),TODAY()-H189&gt;=3,TODAY()-H189&lt;=14),"Follow up","")))</f>
        <v/>
      </c>
      <c r="P189" s="21" t="n"/>
      <c r="Q189" s="16" t="n"/>
      <c r="R189" s="17" t="n"/>
    </row>
    <row r="190">
      <c r="A190" s="16" t="n"/>
      <c r="B190" s="16" t="n"/>
      <c r="C190" s="16" t="n"/>
      <c r="D190" s="16" t="n"/>
      <c r="E190" s="17" t="n"/>
      <c r="F190" s="16" t="n"/>
      <c r="G190" s="16" t="n"/>
      <c r="H190" s="18" t="n"/>
      <c r="I190" s="19">
        <f>IF(ISNUMBER(H190),H190+3,"")</f>
        <v/>
      </c>
      <c r="J190" s="19">
        <f>IF(ISNUMBER(H190),H190+7,"")</f>
        <v/>
      </c>
      <c r="K190" s="19">
        <f>IF(ISNUMBER(H190),H190+14,"")</f>
        <v/>
      </c>
      <c r="L190" s="18" t="n"/>
      <c r="M190" s="17" t="n"/>
      <c r="N190" s="18" t="n"/>
      <c r="O190" s="20">
        <f>IF(OR(A190="",F190="Won",F190="Lost",F190="Not now"),"",IF(AND(ISNUMBER(N190),N190&lt;=TODAY()),"Due",IF(AND(F190="Messaged",ISNUMBER(H190),NOT(ISNUMBER(N190)),TODAY()-H190&gt;=3,TODAY()-H190&lt;=14),"Follow up","")))</f>
        <v/>
      </c>
      <c r="P190" s="21" t="n"/>
      <c r="Q190" s="16" t="n"/>
      <c r="R190" s="17" t="n"/>
    </row>
    <row r="191">
      <c r="A191" s="16" t="n"/>
      <c r="B191" s="16" t="n"/>
      <c r="C191" s="16" t="n"/>
      <c r="D191" s="16" t="n"/>
      <c r="E191" s="17" t="n"/>
      <c r="F191" s="16" t="n"/>
      <c r="G191" s="16" t="n"/>
      <c r="H191" s="18" t="n"/>
      <c r="I191" s="19">
        <f>IF(ISNUMBER(H191),H191+3,"")</f>
        <v/>
      </c>
      <c r="J191" s="19">
        <f>IF(ISNUMBER(H191),H191+7,"")</f>
        <v/>
      </c>
      <c r="K191" s="19">
        <f>IF(ISNUMBER(H191),H191+14,"")</f>
        <v/>
      </c>
      <c r="L191" s="18" t="n"/>
      <c r="M191" s="17" t="n"/>
      <c r="N191" s="18" t="n"/>
      <c r="O191" s="20">
        <f>IF(OR(A191="",F191="Won",F191="Lost",F191="Not now"),"",IF(AND(ISNUMBER(N191),N191&lt;=TODAY()),"Due",IF(AND(F191="Messaged",ISNUMBER(H191),NOT(ISNUMBER(N191)),TODAY()-H191&gt;=3,TODAY()-H191&lt;=14),"Follow up","")))</f>
        <v/>
      </c>
      <c r="P191" s="21" t="n"/>
      <c r="Q191" s="16" t="n"/>
      <c r="R191" s="17" t="n"/>
    </row>
    <row r="192">
      <c r="A192" s="16" t="n"/>
      <c r="B192" s="16" t="n"/>
      <c r="C192" s="16" t="n"/>
      <c r="D192" s="16" t="n"/>
      <c r="E192" s="17" t="n"/>
      <c r="F192" s="16" t="n"/>
      <c r="G192" s="16" t="n"/>
      <c r="H192" s="18" t="n"/>
      <c r="I192" s="19">
        <f>IF(ISNUMBER(H192),H192+3,"")</f>
        <v/>
      </c>
      <c r="J192" s="19">
        <f>IF(ISNUMBER(H192),H192+7,"")</f>
        <v/>
      </c>
      <c r="K192" s="19">
        <f>IF(ISNUMBER(H192),H192+14,"")</f>
        <v/>
      </c>
      <c r="L192" s="18" t="n"/>
      <c r="M192" s="17" t="n"/>
      <c r="N192" s="18" t="n"/>
      <c r="O192" s="20">
        <f>IF(OR(A192="",F192="Won",F192="Lost",F192="Not now"),"",IF(AND(ISNUMBER(N192),N192&lt;=TODAY()),"Due",IF(AND(F192="Messaged",ISNUMBER(H192),NOT(ISNUMBER(N192)),TODAY()-H192&gt;=3,TODAY()-H192&lt;=14),"Follow up","")))</f>
        <v/>
      </c>
      <c r="P192" s="21" t="n"/>
      <c r="Q192" s="16" t="n"/>
      <c r="R192" s="17" t="n"/>
    </row>
    <row r="193">
      <c r="A193" s="16" t="n"/>
      <c r="B193" s="16" t="n"/>
      <c r="C193" s="16" t="n"/>
      <c r="D193" s="16" t="n"/>
      <c r="E193" s="17" t="n"/>
      <c r="F193" s="16" t="n"/>
      <c r="G193" s="16" t="n"/>
      <c r="H193" s="18" t="n"/>
      <c r="I193" s="19">
        <f>IF(ISNUMBER(H193),H193+3,"")</f>
        <v/>
      </c>
      <c r="J193" s="19">
        <f>IF(ISNUMBER(H193),H193+7,"")</f>
        <v/>
      </c>
      <c r="K193" s="19">
        <f>IF(ISNUMBER(H193),H193+14,"")</f>
        <v/>
      </c>
      <c r="L193" s="18" t="n"/>
      <c r="M193" s="17" t="n"/>
      <c r="N193" s="18" t="n"/>
      <c r="O193" s="20">
        <f>IF(OR(A193="",F193="Won",F193="Lost",F193="Not now"),"",IF(AND(ISNUMBER(N193),N193&lt;=TODAY()),"Due",IF(AND(F193="Messaged",ISNUMBER(H193),NOT(ISNUMBER(N193)),TODAY()-H193&gt;=3,TODAY()-H193&lt;=14),"Follow up","")))</f>
        <v/>
      </c>
      <c r="P193" s="21" t="n"/>
      <c r="Q193" s="16" t="n"/>
      <c r="R193" s="17" t="n"/>
    </row>
    <row r="194">
      <c r="A194" s="16" t="n"/>
      <c r="B194" s="16" t="n"/>
      <c r="C194" s="16" t="n"/>
      <c r="D194" s="16" t="n"/>
      <c r="E194" s="17" t="n"/>
      <c r="F194" s="16" t="n"/>
      <c r="G194" s="16" t="n"/>
      <c r="H194" s="18" t="n"/>
      <c r="I194" s="19">
        <f>IF(ISNUMBER(H194),H194+3,"")</f>
        <v/>
      </c>
      <c r="J194" s="19">
        <f>IF(ISNUMBER(H194),H194+7,"")</f>
        <v/>
      </c>
      <c r="K194" s="19">
        <f>IF(ISNUMBER(H194),H194+14,"")</f>
        <v/>
      </c>
      <c r="L194" s="18" t="n"/>
      <c r="M194" s="17" t="n"/>
      <c r="N194" s="18" t="n"/>
      <c r="O194" s="20">
        <f>IF(OR(A194="",F194="Won",F194="Lost",F194="Not now"),"",IF(AND(ISNUMBER(N194),N194&lt;=TODAY()),"Due",IF(AND(F194="Messaged",ISNUMBER(H194),NOT(ISNUMBER(N194)),TODAY()-H194&gt;=3,TODAY()-H194&lt;=14),"Follow up","")))</f>
        <v/>
      </c>
      <c r="P194" s="21" t="n"/>
      <c r="Q194" s="16" t="n"/>
      <c r="R194" s="17" t="n"/>
    </row>
    <row r="195">
      <c r="A195" s="16" t="n"/>
      <c r="B195" s="16" t="n"/>
      <c r="C195" s="16" t="n"/>
      <c r="D195" s="16" t="n"/>
      <c r="E195" s="17" t="n"/>
      <c r="F195" s="16" t="n"/>
      <c r="G195" s="16" t="n"/>
      <c r="H195" s="18" t="n"/>
      <c r="I195" s="19">
        <f>IF(ISNUMBER(H195),H195+3,"")</f>
        <v/>
      </c>
      <c r="J195" s="19">
        <f>IF(ISNUMBER(H195),H195+7,"")</f>
        <v/>
      </c>
      <c r="K195" s="19">
        <f>IF(ISNUMBER(H195),H195+14,"")</f>
        <v/>
      </c>
      <c r="L195" s="18" t="n"/>
      <c r="M195" s="17" t="n"/>
      <c r="N195" s="18" t="n"/>
      <c r="O195" s="20">
        <f>IF(OR(A195="",F195="Won",F195="Lost",F195="Not now"),"",IF(AND(ISNUMBER(N195),N195&lt;=TODAY()),"Due",IF(AND(F195="Messaged",ISNUMBER(H195),NOT(ISNUMBER(N195)),TODAY()-H195&gt;=3,TODAY()-H195&lt;=14),"Follow up","")))</f>
        <v/>
      </c>
      <c r="P195" s="21" t="n"/>
      <c r="Q195" s="16" t="n"/>
      <c r="R195" s="17" t="n"/>
    </row>
    <row r="196">
      <c r="A196" s="16" t="n"/>
      <c r="B196" s="16" t="n"/>
      <c r="C196" s="16" t="n"/>
      <c r="D196" s="16" t="n"/>
      <c r="E196" s="17" t="n"/>
      <c r="F196" s="16" t="n"/>
      <c r="G196" s="16" t="n"/>
      <c r="H196" s="18" t="n"/>
      <c r="I196" s="19">
        <f>IF(ISNUMBER(H196),H196+3,"")</f>
        <v/>
      </c>
      <c r="J196" s="19">
        <f>IF(ISNUMBER(H196),H196+7,"")</f>
        <v/>
      </c>
      <c r="K196" s="19">
        <f>IF(ISNUMBER(H196),H196+14,"")</f>
        <v/>
      </c>
      <c r="L196" s="18" t="n"/>
      <c r="M196" s="17" t="n"/>
      <c r="N196" s="18" t="n"/>
      <c r="O196" s="20">
        <f>IF(OR(A196="",F196="Won",F196="Lost",F196="Not now"),"",IF(AND(ISNUMBER(N196),N196&lt;=TODAY()),"Due",IF(AND(F196="Messaged",ISNUMBER(H196),NOT(ISNUMBER(N196)),TODAY()-H196&gt;=3,TODAY()-H196&lt;=14),"Follow up","")))</f>
        <v/>
      </c>
      <c r="P196" s="21" t="n"/>
      <c r="Q196" s="16" t="n"/>
      <c r="R196" s="17" t="n"/>
    </row>
    <row r="197">
      <c r="A197" s="16" t="n"/>
      <c r="B197" s="16" t="n"/>
      <c r="C197" s="16" t="n"/>
      <c r="D197" s="16" t="n"/>
      <c r="E197" s="17" t="n"/>
      <c r="F197" s="16" t="n"/>
      <c r="G197" s="16" t="n"/>
      <c r="H197" s="18" t="n"/>
      <c r="I197" s="19">
        <f>IF(ISNUMBER(H197),H197+3,"")</f>
        <v/>
      </c>
      <c r="J197" s="19">
        <f>IF(ISNUMBER(H197),H197+7,"")</f>
        <v/>
      </c>
      <c r="K197" s="19">
        <f>IF(ISNUMBER(H197),H197+14,"")</f>
        <v/>
      </c>
      <c r="L197" s="18" t="n"/>
      <c r="M197" s="17" t="n"/>
      <c r="N197" s="18" t="n"/>
      <c r="O197" s="20">
        <f>IF(OR(A197="",F197="Won",F197="Lost",F197="Not now"),"",IF(AND(ISNUMBER(N197),N197&lt;=TODAY()),"Due",IF(AND(F197="Messaged",ISNUMBER(H197),NOT(ISNUMBER(N197)),TODAY()-H197&gt;=3,TODAY()-H197&lt;=14),"Follow up","")))</f>
        <v/>
      </c>
      <c r="P197" s="21" t="n"/>
      <c r="Q197" s="16" t="n"/>
      <c r="R197" s="17" t="n"/>
    </row>
    <row r="198">
      <c r="A198" s="16" t="n"/>
      <c r="B198" s="16" t="n"/>
      <c r="C198" s="16" t="n"/>
      <c r="D198" s="16" t="n"/>
      <c r="E198" s="17" t="n"/>
      <c r="F198" s="16" t="n"/>
      <c r="G198" s="16" t="n"/>
      <c r="H198" s="18" t="n"/>
      <c r="I198" s="19">
        <f>IF(ISNUMBER(H198),H198+3,"")</f>
        <v/>
      </c>
      <c r="J198" s="19">
        <f>IF(ISNUMBER(H198),H198+7,"")</f>
        <v/>
      </c>
      <c r="K198" s="19">
        <f>IF(ISNUMBER(H198),H198+14,"")</f>
        <v/>
      </c>
      <c r="L198" s="18" t="n"/>
      <c r="M198" s="17" t="n"/>
      <c r="N198" s="18" t="n"/>
      <c r="O198" s="20">
        <f>IF(OR(A198="",F198="Won",F198="Lost",F198="Not now"),"",IF(AND(ISNUMBER(N198),N198&lt;=TODAY()),"Due",IF(AND(F198="Messaged",ISNUMBER(H198),NOT(ISNUMBER(N198)),TODAY()-H198&gt;=3,TODAY()-H198&lt;=14),"Follow up","")))</f>
        <v/>
      </c>
      <c r="P198" s="21" t="n"/>
      <c r="Q198" s="16" t="n"/>
      <c r="R198" s="17" t="n"/>
    </row>
    <row r="199">
      <c r="A199" s="16" t="n"/>
      <c r="B199" s="16" t="n"/>
      <c r="C199" s="16" t="n"/>
      <c r="D199" s="16" t="n"/>
      <c r="E199" s="17" t="n"/>
      <c r="F199" s="16" t="n"/>
      <c r="G199" s="16" t="n"/>
      <c r="H199" s="18" t="n"/>
      <c r="I199" s="19">
        <f>IF(ISNUMBER(H199),H199+3,"")</f>
        <v/>
      </c>
      <c r="J199" s="19">
        <f>IF(ISNUMBER(H199),H199+7,"")</f>
        <v/>
      </c>
      <c r="K199" s="19">
        <f>IF(ISNUMBER(H199),H199+14,"")</f>
        <v/>
      </c>
      <c r="L199" s="18" t="n"/>
      <c r="M199" s="17" t="n"/>
      <c r="N199" s="18" t="n"/>
      <c r="O199" s="20">
        <f>IF(OR(A199="",F199="Won",F199="Lost",F199="Not now"),"",IF(AND(ISNUMBER(N199),N199&lt;=TODAY()),"Due",IF(AND(F199="Messaged",ISNUMBER(H199),NOT(ISNUMBER(N199)),TODAY()-H199&gt;=3,TODAY()-H199&lt;=14),"Follow up","")))</f>
        <v/>
      </c>
      <c r="P199" s="21" t="n"/>
      <c r="Q199" s="16" t="n"/>
      <c r="R199" s="17" t="n"/>
    </row>
    <row r="200">
      <c r="A200" s="16" t="n"/>
      <c r="B200" s="16" t="n"/>
      <c r="C200" s="16" t="n"/>
      <c r="D200" s="16" t="n"/>
      <c r="E200" s="17" t="n"/>
      <c r="F200" s="16" t="n"/>
      <c r="G200" s="16" t="n"/>
      <c r="H200" s="18" t="n"/>
      <c r="I200" s="19">
        <f>IF(ISNUMBER(H200),H200+3,"")</f>
        <v/>
      </c>
      <c r="J200" s="19">
        <f>IF(ISNUMBER(H200),H200+7,"")</f>
        <v/>
      </c>
      <c r="K200" s="19">
        <f>IF(ISNUMBER(H200),H200+14,"")</f>
        <v/>
      </c>
      <c r="L200" s="18" t="n"/>
      <c r="M200" s="17" t="n"/>
      <c r="N200" s="18" t="n"/>
      <c r="O200" s="20">
        <f>IF(OR(A200="",F200="Won",F200="Lost",F200="Not now"),"",IF(AND(ISNUMBER(N200),N200&lt;=TODAY()),"Due",IF(AND(F200="Messaged",ISNUMBER(H200),NOT(ISNUMBER(N200)),TODAY()-H200&gt;=3,TODAY()-H200&lt;=14),"Follow up","")))</f>
        <v/>
      </c>
      <c r="P200" s="21" t="n"/>
      <c r="Q200" s="16" t="n"/>
      <c r="R200" s="17" t="n"/>
    </row>
    <row r="201">
      <c r="A201" s="16" t="n"/>
      <c r="B201" s="16" t="n"/>
      <c r="C201" s="16" t="n"/>
      <c r="D201" s="16" t="n"/>
      <c r="E201" s="17" t="n"/>
      <c r="F201" s="16" t="n"/>
      <c r="G201" s="16" t="n"/>
      <c r="H201" s="18" t="n"/>
      <c r="I201" s="19">
        <f>IF(ISNUMBER(H201),H201+3,"")</f>
        <v/>
      </c>
      <c r="J201" s="19">
        <f>IF(ISNUMBER(H201),H201+7,"")</f>
        <v/>
      </c>
      <c r="K201" s="19">
        <f>IF(ISNUMBER(H201),H201+14,"")</f>
        <v/>
      </c>
      <c r="L201" s="18" t="n"/>
      <c r="M201" s="17" t="n"/>
      <c r="N201" s="18" t="n"/>
      <c r="O201" s="20">
        <f>IF(OR(A201="",F201="Won",F201="Lost",F201="Not now"),"",IF(AND(ISNUMBER(N201),N201&lt;=TODAY()),"Due",IF(AND(F201="Messaged",ISNUMBER(H201),NOT(ISNUMBER(N201)),TODAY()-H201&gt;=3,TODAY()-H201&lt;=14),"Follow up","")))</f>
        <v/>
      </c>
      <c r="P201" s="21" t="n"/>
      <c r="Q201" s="16" t="n"/>
      <c r="R201" s="17" t="n"/>
    </row>
    <row r="202">
      <c r="A202" s="16" t="n"/>
      <c r="B202" s="16" t="n"/>
      <c r="C202" s="16" t="n"/>
      <c r="D202" s="16" t="n"/>
      <c r="E202" s="17" t="n"/>
      <c r="F202" s="16" t="n"/>
      <c r="G202" s="16" t="n"/>
      <c r="H202" s="18" t="n"/>
      <c r="I202" s="19">
        <f>IF(ISNUMBER(H202),H202+3,"")</f>
        <v/>
      </c>
      <c r="J202" s="19">
        <f>IF(ISNUMBER(H202),H202+7,"")</f>
        <v/>
      </c>
      <c r="K202" s="19">
        <f>IF(ISNUMBER(H202),H202+14,"")</f>
        <v/>
      </c>
      <c r="L202" s="18" t="n"/>
      <c r="M202" s="17" t="n"/>
      <c r="N202" s="18" t="n"/>
      <c r="O202" s="20">
        <f>IF(OR(A202="",F202="Won",F202="Lost",F202="Not now"),"",IF(AND(ISNUMBER(N202),N202&lt;=TODAY()),"Due",IF(AND(F202="Messaged",ISNUMBER(H202),NOT(ISNUMBER(N202)),TODAY()-H202&gt;=3,TODAY()-H202&lt;=14),"Follow up","")))</f>
        <v/>
      </c>
      <c r="P202" s="21" t="n"/>
      <c r="Q202" s="16" t="n"/>
      <c r="R202" s="17" t="n"/>
    </row>
    <row r="203">
      <c r="A203" s="16" t="n"/>
      <c r="B203" s="16" t="n"/>
      <c r="C203" s="16" t="n"/>
      <c r="D203" s="16" t="n"/>
      <c r="E203" s="17" t="n"/>
      <c r="F203" s="16" t="n"/>
      <c r="G203" s="16" t="n"/>
      <c r="H203" s="18" t="n"/>
      <c r="I203" s="19">
        <f>IF(ISNUMBER(H203),H203+3,"")</f>
        <v/>
      </c>
      <c r="J203" s="19">
        <f>IF(ISNUMBER(H203),H203+7,"")</f>
        <v/>
      </c>
      <c r="K203" s="19">
        <f>IF(ISNUMBER(H203),H203+14,"")</f>
        <v/>
      </c>
      <c r="L203" s="18" t="n"/>
      <c r="M203" s="17" t="n"/>
      <c r="N203" s="18" t="n"/>
      <c r="O203" s="20">
        <f>IF(OR(A203="",F203="Won",F203="Lost",F203="Not now"),"",IF(AND(ISNUMBER(N203),N203&lt;=TODAY()),"Due",IF(AND(F203="Messaged",ISNUMBER(H203),NOT(ISNUMBER(N203)),TODAY()-H203&gt;=3,TODAY()-H203&lt;=14),"Follow up","")))</f>
        <v/>
      </c>
      <c r="P203" s="21" t="n"/>
      <c r="Q203" s="16" t="n"/>
      <c r="R203" s="17" t="n"/>
    </row>
  </sheetData>
  <autoFilter ref="A3:R203"/>
  <conditionalFormatting sqref="O4:O203">
    <cfRule type="expression" priority="1" dxfId="0" stopIfTrue="0">
      <formula>OR(O4="Due",O4="Follow up")</formula>
    </cfRule>
  </conditionalFormatting>
  <conditionalFormatting sqref="F4:F203">
    <cfRule type="expression" priority="2" dxfId="1" stopIfTrue="0">
      <formula>F4="Won"</formula>
    </cfRule>
    <cfRule type="expression" priority="3" dxfId="2" stopIfTrue="0">
      <formula>F4="Lost"</formula>
    </cfRule>
  </conditionalFormatting>
  <dataValidations count="3">
    <dataValidation sqref="D4:D203" showDropDown="0" showInputMessage="0" showErrorMessage="0" allowBlank="1" type="list">
      <formula1>"Warm,Cold,Inbound,Referral"</formula1>
    </dataValidation>
    <dataValidation sqref="F4:F203" showDropDown="0" showInputMessage="0" showErrorMessage="0" allowBlank="1" type="list">
      <formula1>"To contact,Messaged,Replied,Call booked,Offer sent,Won,Lost,Not now"</formula1>
    </dataValidation>
    <dataValidation sqref="G4:G203" showDropDown="0" showInputMessage="0" showErrorMessage="0" allowBlank="1" type="list">
      <formula1>"Warm: feedback,Warm: direct offer,Warm: who do you know,Cold: start with them,Cold: useful first,Inbound reply,Referral ask,Other"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showGridLines="0" tabSelected="0"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 ht="26" customHeight="1">
      <c r="A1" s="12" t="inlineStr">
        <is>
          <t>Pipeline dashboard</t>
        </is>
      </c>
    </row>
    <row r="2">
      <c r="A2" s="13" t="inlineStr">
        <is>
          <t>Check it once a week, in your Weekly CEO Review.</t>
        </is>
      </c>
    </row>
    <row r="4">
      <c r="A4" s="1" t="inlineStr">
        <is>
          <t>YOUR LIST</t>
        </is>
      </c>
    </row>
    <row r="5">
      <c r="A5" s="22" t="inlineStr">
        <is>
          <t>People on the list (goal: 20 to start)</t>
        </is>
      </c>
      <c r="B5" s="23">
        <f>COUNTA('Pipeline'!$A$4:$A$203)</f>
        <v/>
      </c>
    </row>
    <row r="6">
      <c r="A6" s="24" t="inlineStr">
        <is>
          <t>Warm</t>
        </is>
      </c>
      <c r="B6" s="25">
        <f>COUNTIF('Pipeline'!$D$4:$D$203,"Warm")</f>
        <v/>
      </c>
    </row>
    <row r="7">
      <c r="A7" s="24" t="inlineStr">
        <is>
          <t>Referrals</t>
        </is>
      </c>
      <c r="B7" s="25">
        <f>COUNTIF('Pipeline'!$D$4:$D$203,"Referral")</f>
        <v/>
      </c>
    </row>
    <row r="8">
      <c r="A8" s="22" t="inlineStr">
        <is>
          <t>Follow-ups or next steps due today</t>
        </is>
      </c>
      <c r="B8" s="23">
        <f>COUNTIF('Pipeline'!$O$4:$O$203,"Due")+COUNTIF('Pipeline'!$O$4:$O$203,"Follow up")</f>
        <v/>
      </c>
    </row>
    <row r="10">
      <c r="A10" s="1" t="inlineStr">
        <is>
          <t>BY STAGE</t>
        </is>
      </c>
    </row>
    <row r="11">
      <c r="A11" s="24" t="inlineStr">
        <is>
          <t>To contact</t>
        </is>
      </c>
      <c r="B11" s="25">
        <f>COUNTIF('Pipeline'!$F$4:$F$203,"To contact")</f>
        <v/>
      </c>
    </row>
    <row r="12">
      <c r="A12" s="24" t="inlineStr">
        <is>
          <t>Messaged</t>
        </is>
      </c>
      <c r="B12" s="25">
        <f>COUNTIF('Pipeline'!$F$4:$F$203,"Messaged")</f>
        <v/>
      </c>
    </row>
    <row r="13">
      <c r="A13" s="24" t="inlineStr">
        <is>
          <t>Replied</t>
        </is>
      </c>
      <c r="B13" s="25">
        <f>COUNTIF('Pipeline'!$F$4:$F$203,"Replied")</f>
        <v/>
      </c>
    </row>
    <row r="14">
      <c r="A14" s="24" t="inlineStr">
        <is>
          <t>Call booked</t>
        </is>
      </c>
      <c r="B14" s="25">
        <f>COUNTIF('Pipeline'!$F$4:$F$203,"Call booked")</f>
        <v/>
      </c>
    </row>
    <row r="15">
      <c r="A15" s="24" t="inlineStr">
        <is>
          <t>Offer sent</t>
        </is>
      </c>
      <c r="B15" s="25">
        <f>COUNTIF('Pipeline'!$F$4:$F$203,"Offer sent")</f>
        <v/>
      </c>
    </row>
    <row r="16">
      <c r="A16" s="24" t="inlineStr">
        <is>
          <t>Won</t>
        </is>
      </c>
      <c r="B16" s="25">
        <f>COUNTIF('Pipeline'!$F$4:$F$203,"Won")</f>
        <v/>
      </c>
    </row>
    <row r="17">
      <c r="A17" s="24" t="inlineStr">
        <is>
          <t>Lost</t>
        </is>
      </c>
      <c r="B17" s="25">
        <f>COUNTIF('Pipeline'!$F$4:$F$203,"Lost")</f>
        <v/>
      </c>
    </row>
    <row r="18">
      <c r="A18" s="24" t="inlineStr">
        <is>
          <t>Not now</t>
        </is>
      </c>
      <c r="B18" s="25">
        <f>COUNTIF('Pipeline'!$F$4:$F$203,"Not now")</f>
        <v/>
      </c>
    </row>
    <row r="20">
      <c r="A20" s="1" t="inlineStr">
        <is>
          <t>HOW IT IS CONVERTING</t>
        </is>
      </c>
    </row>
    <row r="21">
      <c r="A21" s="24" t="inlineStr">
        <is>
          <t>Contacted (anyone past To contact)</t>
        </is>
      </c>
      <c r="B21" s="25">
        <f>$B$5-$B$11</f>
        <v/>
      </c>
    </row>
    <row r="22">
      <c r="A22" s="24" t="inlineStr">
        <is>
          <t>Reply rate (replied, booked, offered or won / contacted)</t>
        </is>
      </c>
      <c r="B22" s="26">
        <f>IF($B$21=0,"",($B$13+$B$14+$B$15+$B$16)/$B$21)</f>
        <v/>
      </c>
    </row>
    <row r="23">
      <c r="A23" s="24" t="inlineStr">
        <is>
          <t>Win rate (won / contacted)</t>
        </is>
      </c>
      <c r="B23" s="26">
        <f>IF($B$21=0,"",$B$16/$B$21)</f>
        <v/>
      </c>
    </row>
    <row r="24">
      <c r="A24" s="22" t="inlineStr">
        <is>
          <t>Money won ($)</t>
        </is>
      </c>
      <c r="B24" s="27">
        <f>SUMIF('Pipeline'!$F$4:$F$203,"Won",'Pipeline'!$P$4:$P$203)</f>
        <v/>
      </c>
    </row>
    <row r="25">
      <c r="A25" s="24" t="inlineStr">
        <is>
          <t>Average per customer ($)</t>
        </is>
      </c>
      <c r="B25" s="28">
        <f>IF($B$16=0,"",$B$24/$B$16)</f>
        <v/>
      </c>
    </row>
    <row r="26" ht="44" customHeight="1">
      <c r="A26" s="22" t="inlineStr">
        <is>
          <t>Read</t>
        </is>
      </c>
      <c r="B26" s="29">
        <f>IF($B$5&lt;20,"Get to 20 names first. Your first customers come from people who already know you.",IF($B$21&lt;10,"Send your first messages. Personalize the first line every time.",IF(N($B$22)&lt;0.2,"Few replies. Make the first line more personal and ask about their problem before offering.",IF($B$16=0,"People reply but nobody buys yet. Tighten the offer and make the next step tiny.","It is working. Ask every customer for one referral."))))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Pipeline Tracker</dc:title>
  <dcterms:created xmlns:dcterms="http://purl.org/dc/terms/" xmlns:xsi="http://www.w3.org/2001/XMLSchema-instance" xsi:type="dcterms:W3CDTF">2026-10-20T03:16:19Z</dcterms:created>
  <dcterms:modified xmlns:dcterms="http://purl.org/dc/terms/" xmlns:xsi="http://www.w3.org/2001/XMLSchema-instance" xsi:type="dcterms:W3CDTF">2026-10-20T03:16:20Z</dcterms:modified>
</cp:coreProperties>
</file>