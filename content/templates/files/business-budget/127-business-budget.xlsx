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'Budget'!$A$3:$S$43</definedName>
    <definedName name="_xlnm.Print_Titles" localSheetId="1">'Budget'!$3:$3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/>
    </xf>
    <xf numFmtId="164" fontId="5" fillId="2" borderId="1" applyAlignment="1" pivotButton="0" quotePrefix="0" xfId="0">
      <alignment vertical="top"/>
    </xf>
    <xf numFmtId="164" fontId="13" fillId="3" borderId="1" applyAlignment="1" pivotButton="0" quotePrefix="0" xfId="0">
      <alignment vertical="top"/>
    </xf>
    <xf numFmtId="164" fontId="8" fillId="4" borderId="1" applyAlignment="1" pivotButton="0" quotePrefix="0" xfId="0">
      <alignment vertical="top"/>
    </xf>
    <xf numFmtId="0" fontId="5" fillId="0" borderId="3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164" fontId="8" fillId="4" borderId="1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BE3DE"/>
          <bgColor rgb="00FBE3DE"/>
        </patternFill>
      </fill>
    </dxf>
    <dxf>
      <fill>
        <patternFill patternType="solid">
          <fgColor rgb="00DDF3E7"/>
          <b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BUILD TRACK  ·  BUILDER</t>
        </is>
      </c>
    </row>
    <row r="3" ht="34" customHeight="1">
      <c r="B3" s="2" t="inlineStr">
        <is>
          <t>Business Budget</t>
        </is>
      </c>
    </row>
    <row r="4" ht="30" customHeight="1">
      <c r="B4" s="3" t="inlineStr">
        <is>
          <t>Plan what comes in and goes out each month, type the real numbers as the year goes, and see where you are over or under.</t>
        </is>
      </c>
    </row>
    <row r="6">
      <c r="B6" s="1" t="inlineStr">
        <is>
          <t>HOW TO USE IT</t>
        </is>
      </c>
    </row>
    <row r="7" ht="16" customHeight="1">
      <c r="B7" s="4" t="inlineStr">
        <is>
          <t>1.  Budget tab: one line per income or cost. Pick Income or Cost and a category.</t>
        </is>
      </c>
    </row>
    <row r="8" ht="16" customHeight="1">
      <c r="B8" s="4" t="inlineStr">
        <is>
          <t>2.  Type the planned amount per month for each line.</t>
        </is>
      </c>
    </row>
    <row r="9" ht="16" customHeight="1">
      <c r="B9" s="4" t="inlineStr">
        <is>
          <t>3.  At the end of each month, type the real amount in that month's column.</t>
        </is>
      </c>
    </row>
    <row r="10" ht="32" customHeight="1">
      <c r="B10" s="4" t="inlineStr">
        <is>
          <t>4.  Read the grey columns: total so far, plan so far, and the gap. Green is good, red needs a look.</t>
        </is>
      </c>
    </row>
    <row r="11" ht="16" customHeight="1">
      <c r="B11" s="4" t="inlineStr">
        <is>
          <t>5.  Summary tab: planned profit per month and real profit so far.</t>
        </is>
      </c>
    </row>
    <row r="13">
      <c r="B13" s="1" t="inlineStr">
        <is>
          <t>CELL COLORS</t>
        </is>
      </c>
    </row>
    <row r="14">
      <c r="B14" s="5" t="inlineStr">
        <is>
          <t>White cells: you type here.</t>
        </is>
      </c>
    </row>
    <row r="15">
      <c r="B15" s="6" t="inlineStr">
        <is>
          <t>Grey cells: calculated for you. Leave them alone.</t>
        </is>
      </c>
    </row>
    <row r="16">
      <c r="B16" s="7" t="inlineStr">
        <is>
          <t>Lilac cells: the answer you came for.</t>
        </is>
      </c>
    </row>
    <row r="18">
      <c r="B18" s="1" t="inlineStr">
        <is>
          <t>OPEN IT ANYWHERE</t>
        </is>
      </c>
    </row>
    <row r="19" ht="30" customHeight="1">
      <c r="B19" s="8" t="inlineStr">
        <is>
          <t>Google Sheets: go to sheets.new, then File &gt; Import &gt; Upload this file &gt; Replace spreadsheet. Formulas and dropdowns come with it.</t>
        </is>
      </c>
    </row>
    <row r="20" ht="15" customHeight="1">
      <c r="B20" s="8" t="inlineStr">
        <is>
          <t>Excel: double-click the file. Numbers on a Mac: open it with Numbers.</t>
        </is>
      </c>
    </row>
    <row r="21" ht="15" customHeight="1">
      <c r="B21" s="8" t="inlineStr">
        <is>
          <t>Phone: upload it to Google Drive, then open it in the Google Sheets app.</t>
        </is>
      </c>
    </row>
    <row r="23" ht="15" customHeight="1">
      <c r="B23" s="9" t="inlineStr">
        <is>
          <t>Not financial or tax advice.</t>
        </is>
      </c>
    </row>
    <row r="25">
      <c r="B25" s="10" t="inlineStr">
        <is>
          <t>Make today day one.  ·  127group.io</t>
        </is>
      </c>
    </row>
    <row r="26">
      <c r="B26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4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2" customWidth="1" min="17" max="17"/>
    <col width="12" customWidth="1" min="18" max="18"/>
    <col width="12" customWidth="1" min="19" max="19"/>
  </cols>
  <sheetData>
    <row r="1" ht="26" customHeight="1">
      <c r="A1" s="12" t="inlineStr">
        <is>
          <t>Business budget</t>
        </is>
      </c>
    </row>
    <row r="2" ht="16" customHeight="1">
      <c r="A2" s="13" t="inlineStr">
        <is>
          <t>Plan each line once. Type the real amount at the end of each month.</t>
        </is>
      </c>
    </row>
    <row r="3" ht="40" customHeight="1">
      <c r="A3" s="14" t="inlineStr">
        <is>
          <t>Line</t>
        </is>
      </c>
      <c r="B3" s="14" t="inlineStr">
        <is>
          <t>Income or cost</t>
        </is>
      </c>
      <c r="C3" s="14" t="inlineStr">
        <is>
          <t>Category</t>
        </is>
      </c>
      <c r="D3" s="14" t="inlineStr">
        <is>
          <t>Plan per month ($)</t>
        </is>
      </c>
      <c r="E3" s="14" t="inlineStr">
        <is>
          <t>Jan</t>
        </is>
      </c>
      <c r="F3" s="14" t="inlineStr">
        <is>
          <t>Feb</t>
        </is>
      </c>
      <c r="G3" s="14" t="inlineStr">
        <is>
          <t>Mar</t>
        </is>
      </c>
      <c r="H3" s="14" t="inlineStr">
        <is>
          <t>Apr</t>
        </is>
      </c>
      <c r="I3" s="14" t="inlineStr">
        <is>
          <t>May</t>
        </is>
      </c>
      <c r="J3" s="14" t="inlineStr">
        <is>
          <t>Jun</t>
        </is>
      </c>
      <c r="K3" s="14" t="inlineStr">
        <is>
          <t>Jul</t>
        </is>
      </c>
      <c r="L3" s="14" t="inlineStr">
        <is>
          <t>Aug</t>
        </is>
      </c>
      <c r="M3" s="14" t="inlineStr">
        <is>
          <t>Sep</t>
        </is>
      </c>
      <c r="N3" s="14" t="inlineStr">
        <is>
          <t>Oct</t>
        </is>
      </c>
      <c r="O3" s="14" t="inlineStr">
        <is>
          <t>Nov</t>
        </is>
      </c>
      <c r="P3" s="14" t="inlineStr">
        <is>
          <t>Dec</t>
        </is>
      </c>
      <c r="Q3" s="15" t="inlineStr">
        <is>
          <t>Real so far ($)</t>
        </is>
      </c>
      <c r="R3" s="15" t="inlineStr">
        <is>
          <t>Plan so far ($)</t>
        </is>
      </c>
      <c r="S3" s="15" t="inlineStr">
        <is>
          <t>Gap ($, + is good)</t>
        </is>
      </c>
    </row>
    <row r="4">
      <c r="A4" s="16" t="n"/>
      <c r="B4" s="17" t="n"/>
      <c r="C4" s="17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9">
        <f>IF(COUNT(E4:P4)=0,"",SUM(E4:P4))</f>
        <v/>
      </c>
      <c r="R4" s="19">
        <f>IF(OR(D4="",COUNT(E4:P4)=0),"",D4*COUNT(E4:P4))</f>
        <v/>
      </c>
      <c r="S4" s="20">
        <f>IF(OR(Q4="",R4=""),"",IF(B4="Income",Q4-R4,R4-Q4))</f>
        <v/>
      </c>
    </row>
    <row r="5">
      <c r="A5" s="16" t="n"/>
      <c r="B5" s="17" t="n"/>
      <c r="C5" s="17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9">
        <f>IF(COUNT(E5:P5)=0,"",SUM(E5:P5))</f>
        <v/>
      </c>
      <c r="R5" s="19">
        <f>IF(OR(D5="",COUNT(E5:P5)=0),"",D5*COUNT(E5:P5))</f>
        <v/>
      </c>
      <c r="S5" s="20">
        <f>IF(OR(Q5="",R5=""),"",IF(B5="Income",Q5-R5,R5-Q5))</f>
        <v/>
      </c>
    </row>
    <row r="6">
      <c r="A6" s="16" t="n"/>
      <c r="B6" s="17" t="n"/>
      <c r="C6" s="17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9">
        <f>IF(COUNT(E6:P6)=0,"",SUM(E6:P6))</f>
        <v/>
      </c>
      <c r="R6" s="19">
        <f>IF(OR(D6="",COUNT(E6:P6)=0),"",D6*COUNT(E6:P6))</f>
        <v/>
      </c>
      <c r="S6" s="20">
        <f>IF(OR(Q6="",R6=""),"",IF(B6="Income",Q6-R6,R6-Q6))</f>
        <v/>
      </c>
    </row>
    <row r="7">
      <c r="A7" s="16" t="n"/>
      <c r="B7" s="17" t="n"/>
      <c r="C7" s="17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9">
        <f>IF(COUNT(E7:P7)=0,"",SUM(E7:P7))</f>
        <v/>
      </c>
      <c r="R7" s="19">
        <f>IF(OR(D7="",COUNT(E7:P7)=0),"",D7*COUNT(E7:P7))</f>
        <v/>
      </c>
      <c r="S7" s="20">
        <f>IF(OR(Q7="",R7=""),"",IF(B7="Income",Q7-R7,R7-Q7))</f>
        <v/>
      </c>
    </row>
    <row r="8">
      <c r="A8" s="16" t="n"/>
      <c r="B8" s="17" t="n"/>
      <c r="C8" s="17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9">
        <f>IF(COUNT(E8:P8)=0,"",SUM(E8:P8))</f>
        <v/>
      </c>
      <c r="R8" s="19">
        <f>IF(OR(D8="",COUNT(E8:P8)=0),"",D8*COUNT(E8:P8))</f>
        <v/>
      </c>
      <c r="S8" s="20">
        <f>IF(OR(Q8="",R8=""),"",IF(B8="Income",Q8-R8,R8-Q8))</f>
        <v/>
      </c>
    </row>
    <row r="9">
      <c r="A9" s="16" t="n"/>
      <c r="B9" s="17" t="n"/>
      <c r="C9" s="17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9">
        <f>IF(COUNT(E9:P9)=0,"",SUM(E9:P9))</f>
        <v/>
      </c>
      <c r="R9" s="19">
        <f>IF(OR(D9="",COUNT(E9:P9)=0),"",D9*COUNT(E9:P9))</f>
        <v/>
      </c>
      <c r="S9" s="20">
        <f>IF(OR(Q9="",R9=""),"",IF(B9="Income",Q9-R9,R9-Q9))</f>
        <v/>
      </c>
    </row>
    <row r="10">
      <c r="A10" s="16" t="n"/>
      <c r="B10" s="17" t="n"/>
      <c r="C10" s="17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9">
        <f>IF(COUNT(E10:P10)=0,"",SUM(E10:P10))</f>
        <v/>
      </c>
      <c r="R10" s="19">
        <f>IF(OR(D10="",COUNT(E10:P10)=0),"",D10*COUNT(E10:P10))</f>
        <v/>
      </c>
      <c r="S10" s="20">
        <f>IF(OR(Q10="",R10=""),"",IF(B10="Income",Q10-R10,R10-Q10))</f>
        <v/>
      </c>
    </row>
    <row r="11">
      <c r="A11" s="16" t="n"/>
      <c r="B11" s="17" t="n"/>
      <c r="C11" s="17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9">
        <f>IF(COUNT(E11:P11)=0,"",SUM(E11:P11))</f>
        <v/>
      </c>
      <c r="R11" s="19">
        <f>IF(OR(D11="",COUNT(E11:P11)=0),"",D11*COUNT(E11:P11))</f>
        <v/>
      </c>
      <c r="S11" s="20">
        <f>IF(OR(Q11="",R11=""),"",IF(B11="Income",Q11-R11,R11-Q11))</f>
        <v/>
      </c>
    </row>
    <row r="12">
      <c r="A12" s="16" t="n"/>
      <c r="B12" s="17" t="n"/>
      <c r="C12" s="17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9">
        <f>IF(COUNT(E12:P12)=0,"",SUM(E12:P12))</f>
        <v/>
      </c>
      <c r="R12" s="19">
        <f>IF(OR(D12="",COUNT(E12:P12)=0),"",D12*COUNT(E12:P12))</f>
        <v/>
      </c>
      <c r="S12" s="20">
        <f>IF(OR(Q12="",R12=""),"",IF(B12="Income",Q12-R12,R12-Q12))</f>
        <v/>
      </c>
    </row>
    <row r="13">
      <c r="A13" s="16" t="n"/>
      <c r="B13" s="17" t="n"/>
      <c r="C13" s="17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9">
        <f>IF(COUNT(E13:P13)=0,"",SUM(E13:P13))</f>
        <v/>
      </c>
      <c r="R13" s="19">
        <f>IF(OR(D13="",COUNT(E13:P13)=0),"",D13*COUNT(E13:P13))</f>
        <v/>
      </c>
      <c r="S13" s="20">
        <f>IF(OR(Q13="",R13=""),"",IF(B13="Income",Q13-R13,R13-Q13))</f>
        <v/>
      </c>
    </row>
    <row r="14">
      <c r="A14" s="16" t="n"/>
      <c r="B14" s="17" t="n"/>
      <c r="C14" s="17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9">
        <f>IF(COUNT(E14:P14)=0,"",SUM(E14:P14))</f>
        <v/>
      </c>
      <c r="R14" s="19">
        <f>IF(OR(D14="",COUNT(E14:P14)=0),"",D14*COUNT(E14:P14))</f>
        <v/>
      </c>
      <c r="S14" s="20">
        <f>IF(OR(Q14="",R14=""),"",IF(B14="Income",Q14-R14,R14-Q14))</f>
        <v/>
      </c>
    </row>
    <row r="15">
      <c r="A15" s="16" t="n"/>
      <c r="B15" s="17" t="n"/>
      <c r="C15" s="17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9">
        <f>IF(COUNT(E15:P15)=0,"",SUM(E15:P15))</f>
        <v/>
      </c>
      <c r="R15" s="19">
        <f>IF(OR(D15="",COUNT(E15:P15)=0),"",D15*COUNT(E15:P15))</f>
        <v/>
      </c>
      <c r="S15" s="20">
        <f>IF(OR(Q15="",R15=""),"",IF(B15="Income",Q15-R15,R15-Q15))</f>
        <v/>
      </c>
    </row>
    <row r="16">
      <c r="A16" s="16" t="n"/>
      <c r="B16" s="17" t="n"/>
      <c r="C16" s="17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9">
        <f>IF(COUNT(E16:P16)=0,"",SUM(E16:P16))</f>
        <v/>
      </c>
      <c r="R16" s="19">
        <f>IF(OR(D16="",COUNT(E16:P16)=0),"",D16*COUNT(E16:P16))</f>
        <v/>
      </c>
      <c r="S16" s="20">
        <f>IF(OR(Q16="",R16=""),"",IF(B16="Income",Q16-R16,R16-Q16))</f>
        <v/>
      </c>
    </row>
    <row r="17">
      <c r="A17" s="16" t="n"/>
      <c r="B17" s="17" t="n"/>
      <c r="C17" s="17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9">
        <f>IF(COUNT(E17:P17)=0,"",SUM(E17:P17))</f>
        <v/>
      </c>
      <c r="R17" s="19">
        <f>IF(OR(D17="",COUNT(E17:P17)=0),"",D17*COUNT(E17:P17))</f>
        <v/>
      </c>
      <c r="S17" s="20">
        <f>IF(OR(Q17="",R17=""),"",IF(B17="Income",Q17-R17,R17-Q17))</f>
        <v/>
      </c>
    </row>
    <row r="18">
      <c r="A18" s="16" t="n"/>
      <c r="B18" s="17" t="n"/>
      <c r="C18" s="17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9">
        <f>IF(COUNT(E18:P18)=0,"",SUM(E18:P18))</f>
        <v/>
      </c>
      <c r="R18" s="19">
        <f>IF(OR(D18="",COUNT(E18:P18)=0),"",D18*COUNT(E18:P18))</f>
        <v/>
      </c>
      <c r="S18" s="20">
        <f>IF(OR(Q18="",R18=""),"",IF(B18="Income",Q18-R18,R18-Q18))</f>
        <v/>
      </c>
    </row>
    <row r="19">
      <c r="A19" s="16" t="n"/>
      <c r="B19" s="17" t="n"/>
      <c r="C19" s="17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9">
        <f>IF(COUNT(E19:P19)=0,"",SUM(E19:P19))</f>
        <v/>
      </c>
      <c r="R19" s="19">
        <f>IF(OR(D19="",COUNT(E19:P19)=0),"",D19*COUNT(E19:P19))</f>
        <v/>
      </c>
      <c r="S19" s="20">
        <f>IF(OR(Q19="",R19=""),"",IF(B19="Income",Q19-R19,R19-Q19))</f>
        <v/>
      </c>
    </row>
    <row r="20">
      <c r="A20" s="16" t="n"/>
      <c r="B20" s="17" t="n"/>
      <c r="C20" s="17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9">
        <f>IF(COUNT(E20:P20)=0,"",SUM(E20:P20))</f>
        <v/>
      </c>
      <c r="R20" s="19">
        <f>IF(OR(D20="",COUNT(E20:P20)=0),"",D20*COUNT(E20:P20))</f>
        <v/>
      </c>
      <c r="S20" s="20">
        <f>IF(OR(Q20="",R20=""),"",IF(B20="Income",Q20-R20,R20-Q20))</f>
        <v/>
      </c>
    </row>
    <row r="21">
      <c r="A21" s="16" t="n"/>
      <c r="B21" s="17" t="n"/>
      <c r="C21" s="17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9">
        <f>IF(COUNT(E21:P21)=0,"",SUM(E21:P21))</f>
        <v/>
      </c>
      <c r="R21" s="19">
        <f>IF(OR(D21="",COUNT(E21:P21)=0),"",D21*COUNT(E21:P21))</f>
        <v/>
      </c>
      <c r="S21" s="20">
        <f>IF(OR(Q21="",R21=""),"",IF(B21="Income",Q21-R21,R21-Q21))</f>
        <v/>
      </c>
    </row>
    <row r="22">
      <c r="A22" s="16" t="n"/>
      <c r="B22" s="17" t="n"/>
      <c r="C22" s="17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9">
        <f>IF(COUNT(E22:P22)=0,"",SUM(E22:P22))</f>
        <v/>
      </c>
      <c r="R22" s="19">
        <f>IF(OR(D22="",COUNT(E22:P22)=0),"",D22*COUNT(E22:P22))</f>
        <v/>
      </c>
      <c r="S22" s="20">
        <f>IF(OR(Q22="",R22=""),"",IF(B22="Income",Q22-R22,R22-Q22))</f>
        <v/>
      </c>
    </row>
    <row r="23">
      <c r="A23" s="16" t="n"/>
      <c r="B23" s="17" t="n"/>
      <c r="C23" s="17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9">
        <f>IF(COUNT(E23:P23)=0,"",SUM(E23:P23))</f>
        <v/>
      </c>
      <c r="R23" s="19">
        <f>IF(OR(D23="",COUNT(E23:P23)=0),"",D23*COUNT(E23:P23))</f>
        <v/>
      </c>
      <c r="S23" s="20">
        <f>IF(OR(Q23="",R23=""),"",IF(B23="Income",Q23-R23,R23-Q23))</f>
        <v/>
      </c>
    </row>
    <row r="24">
      <c r="A24" s="16" t="n"/>
      <c r="B24" s="17" t="n"/>
      <c r="C24" s="17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9">
        <f>IF(COUNT(E24:P24)=0,"",SUM(E24:P24))</f>
        <v/>
      </c>
      <c r="R24" s="19">
        <f>IF(OR(D24="",COUNT(E24:P24)=0),"",D24*COUNT(E24:P24))</f>
        <v/>
      </c>
      <c r="S24" s="20">
        <f>IF(OR(Q24="",R24=""),"",IF(B24="Income",Q24-R24,R24-Q24))</f>
        <v/>
      </c>
    </row>
    <row r="25">
      <c r="A25" s="16" t="n"/>
      <c r="B25" s="17" t="n"/>
      <c r="C25" s="17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9">
        <f>IF(COUNT(E25:P25)=0,"",SUM(E25:P25))</f>
        <v/>
      </c>
      <c r="R25" s="19">
        <f>IF(OR(D25="",COUNT(E25:P25)=0),"",D25*COUNT(E25:P25))</f>
        <v/>
      </c>
      <c r="S25" s="20">
        <f>IF(OR(Q25="",R25=""),"",IF(B25="Income",Q25-R25,R25-Q25))</f>
        <v/>
      </c>
    </row>
    <row r="26">
      <c r="A26" s="16" t="n"/>
      <c r="B26" s="17" t="n"/>
      <c r="C26" s="17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9">
        <f>IF(COUNT(E26:P26)=0,"",SUM(E26:P26))</f>
        <v/>
      </c>
      <c r="R26" s="19">
        <f>IF(OR(D26="",COUNT(E26:P26)=0),"",D26*COUNT(E26:P26))</f>
        <v/>
      </c>
      <c r="S26" s="20">
        <f>IF(OR(Q26="",R26=""),"",IF(B26="Income",Q26-R26,R26-Q26))</f>
        <v/>
      </c>
    </row>
    <row r="27">
      <c r="A27" s="16" t="n"/>
      <c r="B27" s="17" t="n"/>
      <c r="C27" s="17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9">
        <f>IF(COUNT(E27:P27)=0,"",SUM(E27:P27))</f>
        <v/>
      </c>
      <c r="R27" s="19">
        <f>IF(OR(D27="",COUNT(E27:P27)=0),"",D27*COUNT(E27:P27))</f>
        <v/>
      </c>
      <c r="S27" s="20">
        <f>IF(OR(Q27="",R27=""),"",IF(B27="Income",Q27-R27,R27-Q27))</f>
        <v/>
      </c>
    </row>
    <row r="28">
      <c r="A28" s="16" t="n"/>
      <c r="B28" s="17" t="n"/>
      <c r="C28" s="17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9">
        <f>IF(COUNT(E28:P28)=0,"",SUM(E28:P28))</f>
        <v/>
      </c>
      <c r="R28" s="19">
        <f>IF(OR(D28="",COUNT(E28:P28)=0),"",D28*COUNT(E28:P28))</f>
        <v/>
      </c>
      <c r="S28" s="20">
        <f>IF(OR(Q28="",R28=""),"",IF(B28="Income",Q28-R28,R28-Q28))</f>
        <v/>
      </c>
    </row>
    <row r="29">
      <c r="A29" s="16" t="n"/>
      <c r="B29" s="17" t="n"/>
      <c r="C29" s="17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9">
        <f>IF(COUNT(E29:P29)=0,"",SUM(E29:P29))</f>
        <v/>
      </c>
      <c r="R29" s="19">
        <f>IF(OR(D29="",COUNT(E29:P29)=0),"",D29*COUNT(E29:P29))</f>
        <v/>
      </c>
      <c r="S29" s="20">
        <f>IF(OR(Q29="",R29=""),"",IF(B29="Income",Q29-R29,R29-Q29))</f>
        <v/>
      </c>
    </row>
    <row r="30">
      <c r="A30" s="16" t="n"/>
      <c r="B30" s="17" t="n"/>
      <c r="C30" s="17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9">
        <f>IF(COUNT(E30:P30)=0,"",SUM(E30:P30))</f>
        <v/>
      </c>
      <c r="R30" s="19">
        <f>IF(OR(D30="",COUNT(E30:P30)=0),"",D30*COUNT(E30:P30))</f>
        <v/>
      </c>
      <c r="S30" s="20">
        <f>IF(OR(Q30="",R30=""),"",IF(B30="Income",Q30-R30,R30-Q30))</f>
        <v/>
      </c>
    </row>
    <row r="31">
      <c r="A31" s="16" t="n"/>
      <c r="B31" s="17" t="n"/>
      <c r="C31" s="17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9">
        <f>IF(COUNT(E31:P31)=0,"",SUM(E31:P31))</f>
        <v/>
      </c>
      <c r="R31" s="19">
        <f>IF(OR(D31="",COUNT(E31:P31)=0),"",D31*COUNT(E31:P31))</f>
        <v/>
      </c>
      <c r="S31" s="20">
        <f>IF(OR(Q31="",R31=""),"",IF(B31="Income",Q31-R31,R31-Q31))</f>
        <v/>
      </c>
    </row>
    <row r="32">
      <c r="A32" s="16" t="n"/>
      <c r="B32" s="17" t="n"/>
      <c r="C32" s="17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9">
        <f>IF(COUNT(E32:P32)=0,"",SUM(E32:P32))</f>
        <v/>
      </c>
      <c r="R32" s="19">
        <f>IF(OR(D32="",COUNT(E32:P32)=0),"",D32*COUNT(E32:P32))</f>
        <v/>
      </c>
      <c r="S32" s="20">
        <f>IF(OR(Q32="",R32=""),"",IF(B32="Income",Q32-R32,R32-Q32))</f>
        <v/>
      </c>
    </row>
    <row r="33">
      <c r="A33" s="16" t="n"/>
      <c r="B33" s="17" t="n"/>
      <c r="C33" s="17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9">
        <f>IF(COUNT(E33:P33)=0,"",SUM(E33:P33))</f>
        <v/>
      </c>
      <c r="R33" s="19">
        <f>IF(OR(D33="",COUNT(E33:P33)=0),"",D33*COUNT(E33:P33))</f>
        <v/>
      </c>
      <c r="S33" s="20">
        <f>IF(OR(Q33="",R33=""),"",IF(B33="Income",Q33-R33,R33-Q33))</f>
        <v/>
      </c>
    </row>
    <row r="34">
      <c r="A34" s="16" t="n"/>
      <c r="B34" s="17" t="n"/>
      <c r="C34" s="17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9">
        <f>IF(COUNT(E34:P34)=0,"",SUM(E34:P34))</f>
        <v/>
      </c>
      <c r="R34" s="19">
        <f>IF(OR(D34="",COUNT(E34:P34)=0),"",D34*COUNT(E34:P34))</f>
        <v/>
      </c>
      <c r="S34" s="20">
        <f>IF(OR(Q34="",R34=""),"",IF(B34="Income",Q34-R34,R34-Q34))</f>
        <v/>
      </c>
    </row>
    <row r="35">
      <c r="A35" s="16" t="n"/>
      <c r="B35" s="17" t="n"/>
      <c r="C35" s="17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9">
        <f>IF(COUNT(E35:P35)=0,"",SUM(E35:P35))</f>
        <v/>
      </c>
      <c r="R35" s="19">
        <f>IF(OR(D35="",COUNT(E35:P35)=0),"",D35*COUNT(E35:P35))</f>
        <v/>
      </c>
      <c r="S35" s="20">
        <f>IF(OR(Q35="",R35=""),"",IF(B35="Income",Q35-R35,R35-Q35))</f>
        <v/>
      </c>
    </row>
    <row r="36">
      <c r="A36" s="16" t="n"/>
      <c r="B36" s="17" t="n"/>
      <c r="C36" s="17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9">
        <f>IF(COUNT(E36:P36)=0,"",SUM(E36:P36))</f>
        <v/>
      </c>
      <c r="R36" s="19">
        <f>IF(OR(D36="",COUNT(E36:P36)=0),"",D36*COUNT(E36:P36))</f>
        <v/>
      </c>
      <c r="S36" s="20">
        <f>IF(OR(Q36="",R36=""),"",IF(B36="Income",Q36-R36,R36-Q36))</f>
        <v/>
      </c>
    </row>
    <row r="37">
      <c r="A37" s="16" t="n"/>
      <c r="B37" s="17" t="n"/>
      <c r="C37" s="17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9">
        <f>IF(COUNT(E37:P37)=0,"",SUM(E37:P37))</f>
        <v/>
      </c>
      <c r="R37" s="19">
        <f>IF(OR(D37="",COUNT(E37:P37)=0),"",D37*COUNT(E37:P37))</f>
        <v/>
      </c>
      <c r="S37" s="20">
        <f>IF(OR(Q37="",R37=""),"",IF(B37="Income",Q37-R37,R37-Q37))</f>
        <v/>
      </c>
    </row>
    <row r="38">
      <c r="A38" s="16" t="n"/>
      <c r="B38" s="17" t="n"/>
      <c r="C38" s="17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9">
        <f>IF(COUNT(E38:P38)=0,"",SUM(E38:P38))</f>
        <v/>
      </c>
      <c r="R38" s="19">
        <f>IF(OR(D38="",COUNT(E38:P38)=0),"",D38*COUNT(E38:P38))</f>
        <v/>
      </c>
      <c r="S38" s="20">
        <f>IF(OR(Q38="",R38=""),"",IF(B38="Income",Q38-R38,R38-Q38))</f>
        <v/>
      </c>
    </row>
    <row r="39">
      <c r="A39" s="16" t="n"/>
      <c r="B39" s="17" t="n"/>
      <c r="C39" s="17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9">
        <f>IF(COUNT(E39:P39)=0,"",SUM(E39:P39))</f>
        <v/>
      </c>
      <c r="R39" s="19">
        <f>IF(OR(D39="",COUNT(E39:P39)=0),"",D39*COUNT(E39:P39))</f>
        <v/>
      </c>
      <c r="S39" s="20">
        <f>IF(OR(Q39="",R39=""),"",IF(B39="Income",Q39-R39,R39-Q39))</f>
        <v/>
      </c>
    </row>
    <row r="40">
      <c r="A40" s="16" t="n"/>
      <c r="B40" s="17" t="n"/>
      <c r="C40" s="17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9">
        <f>IF(COUNT(E40:P40)=0,"",SUM(E40:P40))</f>
        <v/>
      </c>
      <c r="R40" s="19">
        <f>IF(OR(D40="",COUNT(E40:P40)=0),"",D40*COUNT(E40:P40))</f>
        <v/>
      </c>
      <c r="S40" s="20">
        <f>IF(OR(Q40="",R40=""),"",IF(B40="Income",Q40-R40,R40-Q40))</f>
        <v/>
      </c>
    </row>
    <row r="41">
      <c r="A41" s="16" t="n"/>
      <c r="B41" s="17" t="n"/>
      <c r="C41" s="17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9">
        <f>IF(COUNT(E41:P41)=0,"",SUM(E41:P41))</f>
        <v/>
      </c>
      <c r="R41" s="19">
        <f>IF(OR(D41="",COUNT(E41:P41)=0),"",D41*COUNT(E41:P41))</f>
        <v/>
      </c>
      <c r="S41" s="20">
        <f>IF(OR(Q41="",R41=""),"",IF(B41="Income",Q41-R41,R41-Q41))</f>
        <v/>
      </c>
    </row>
    <row r="42">
      <c r="A42" s="16" t="n"/>
      <c r="B42" s="17" t="n"/>
      <c r="C42" s="17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9">
        <f>IF(COUNT(E42:P42)=0,"",SUM(E42:P42))</f>
        <v/>
      </c>
      <c r="R42" s="19">
        <f>IF(OR(D42="",COUNT(E42:P42)=0),"",D42*COUNT(E42:P42))</f>
        <v/>
      </c>
      <c r="S42" s="20">
        <f>IF(OR(Q42="",R42=""),"",IF(B42="Income",Q42-R42,R42-Q42))</f>
        <v/>
      </c>
    </row>
    <row r="43">
      <c r="A43" s="16" t="n"/>
      <c r="B43" s="17" t="n"/>
      <c r="C43" s="17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9">
        <f>IF(COUNT(E43:P43)=0,"",SUM(E43:P43))</f>
        <v/>
      </c>
      <c r="R43" s="19">
        <f>IF(OR(D43="",COUNT(E43:P43)=0),"",D43*COUNT(E43:P43))</f>
        <v/>
      </c>
      <c r="S43" s="20">
        <f>IF(OR(Q43="",R43=""),"",IF(B43="Income",Q43-R43,R43-Q43))</f>
        <v/>
      </c>
    </row>
  </sheetData>
  <autoFilter ref="A3:S43"/>
  <conditionalFormatting sqref="S4:S43">
    <cfRule type="expression" priority="1" dxfId="0" stopIfTrue="0">
      <formula>AND($S4&lt;&gt;"",$S4&lt;0)</formula>
    </cfRule>
    <cfRule type="expression" priority="2" dxfId="1" stopIfTrue="0">
      <formula>AND($S4&lt;&gt;"",$S4&gt;=0)</formula>
    </cfRule>
  </conditionalFormatting>
  <dataValidations count="2">
    <dataValidation sqref="B4:B43" showDropDown="0" showInputMessage="0" showErrorMessage="0" allowBlank="1" type="list">
      <formula1>"Income,Cost"</formula1>
    </dataValidation>
    <dataValidation sqref="C4:C43" showDropDown="0" showInputMessage="0" showErrorMessage="0" allowBlank="1" type="list">
      <formula1>"Sales,Other income,Supplies,Tools,Marketing,People,Owner pay,Taxes set aside,Rent and space,Vehicle and travel,Other"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tabSelected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 ht="26" customHeight="1">
      <c r="A1" s="12" t="inlineStr">
        <is>
          <t>Budget summary</t>
        </is>
      </c>
    </row>
    <row r="2">
      <c r="A2" s="13" t="inlineStr">
        <is>
          <t>Calculated from the Budget tab.</t>
        </is>
      </c>
    </row>
    <row r="4">
      <c r="A4" s="1" t="inlineStr">
        <is>
          <t>PLAN PER MONTH</t>
        </is>
      </c>
    </row>
    <row r="5">
      <c r="A5" s="21" t="inlineStr">
        <is>
          <t>Planned income ($)</t>
        </is>
      </c>
      <c r="B5" s="22">
        <f>SUMIF('Budget'!$B$4:$B$43,"Income",'Budget'!$D$4:$D$43)</f>
        <v/>
      </c>
    </row>
    <row r="6">
      <c r="A6" s="21" t="inlineStr">
        <is>
          <t>Planned costs ($)</t>
        </is>
      </c>
      <c r="B6" s="22">
        <f>SUMIF('Budget'!$B$4:$B$43,"Cost",'Budget'!$D$4:$D$43)</f>
        <v/>
      </c>
    </row>
    <row r="7">
      <c r="A7" s="23" t="inlineStr">
        <is>
          <t>Planned profit per month ($)</t>
        </is>
      </c>
      <c r="B7" s="24">
        <f>$B$5-$B$6</f>
        <v/>
      </c>
    </row>
    <row r="9">
      <c r="A9" s="1" t="inlineStr">
        <is>
          <t>REAL SO FAR</t>
        </is>
      </c>
    </row>
    <row r="10">
      <c r="A10" s="21" t="inlineStr">
        <is>
          <t>Real income so far ($)</t>
        </is>
      </c>
      <c r="B10" s="22">
        <f>SUMIF('Budget'!$B$4:$B$43,"Income",'Budget'!$Q$4:$Q$43)</f>
        <v/>
      </c>
    </row>
    <row r="11">
      <c r="A11" s="21" t="inlineStr">
        <is>
          <t>Real costs so far ($)</t>
        </is>
      </c>
      <c r="B11" s="22">
        <f>SUMIF('Budget'!$B$4:$B$43,"Cost",'Budget'!$Q$4:$Q$43)</f>
        <v/>
      </c>
    </row>
    <row r="12">
      <c r="A12" s="23" t="inlineStr">
        <is>
          <t>Real profit so far ($)</t>
        </is>
      </c>
      <c r="B12" s="24">
        <f>$B$10-$B$11</f>
        <v/>
      </c>
    </row>
    <row r="13">
      <c r="A13" s="21" t="inlineStr">
        <is>
          <t>Lines over plan</t>
        </is>
      </c>
      <c r="B13" s="25">
        <f>COUNTIF('Budget'!$S$4:$S$43,"&lt;0")</f>
        <v/>
      </c>
    </row>
    <row r="14" ht="44" customHeight="1">
      <c r="A14" s="23" t="inlineStr">
        <is>
          <t>Read</t>
        </is>
      </c>
      <c r="B14" s="26">
        <f>IF($B$5=0,"Add your income and cost lines on the Budget tab.",IF($B$10=0,"Type real numbers at the end of the month to compare.",IF($B$13=0,"Every line is on or better than plan so far.",$B$13&amp;" lines are worse than plan. Look at the red gaps on the Budget tab first.")))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Business Budget</dc:title>
  <dcterms:created xmlns:dcterms="http://purl.org/dc/terms/" xmlns:xsi="http://www.w3.org/2001/XMLSchema-instance" xsi:type="dcterms:W3CDTF">2026-10-20T03:32:28Z</dcterms:created>
  <dcterms:modified xmlns:dcterms="http://purl.org/dc/terms/" xmlns:xsi="http://www.w3.org/2001/XMLSchema-instance" xsi:type="dcterms:W3CDTF">2026-10-20T03:32:28Z</dcterms:modified>
</cp:coreProperties>
</file>