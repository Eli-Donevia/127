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'Clients'!$A$3:$J$53</definedName>
    <definedName name="_xlnm.Print_Titles" localSheetId="1">'Clients'!$3:$3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ddd, mmm d"/>
    <numFmt numFmtId="166" formatCode="&quot;$&quot;#,##0.00"/>
  </numFmts>
  <fonts count="14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b val="1"/>
      <color rgb="001B1B20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  <font>
      <name val="Arial"/>
      <color rgb="003A3A44"/>
      <sz val="10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ECEEFB"/>
        <bgColor rgb="00ECEEFB"/>
      </patternFill>
    </fill>
    <fill>
      <patternFill patternType="solid">
        <fgColor rgb="00060607"/>
        <bgColor rgb="00060607"/>
      </patternFill>
    </fill>
    <fill>
      <patternFill patternType="solid">
        <fgColor rgb="002B2B33"/>
        <bgColor rgb="002B2B33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left style="thin">
        <color rgb="003A3A44"/>
      </left>
      <right style="thin">
        <color rgb="003A3A44"/>
      </right>
    </border>
    <border>
      <bottom style="thin">
        <color rgb="00D9D9D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5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vertical="top"/>
    </xf>
    <xf numFmtId="3" fontId="5" fillId="2" borderId="1" applyAlignment="1" pivotButton="0" quotePrefix="0" xfId="0">
      <alignment vertical="top"/>
    </xf>
    <xf numFmtId="164" fontId="5" fillId="2" borderId="1" applyAlignment="1" pivotButton="0" quotePrefix="0" xfId="0">
      <alignment vertical="top"/>
    </xf>
    <xf numFmtId="165" fontId="5" fillId="2" borderId="1" applyAlignment="1" pivotButton="0" quotePrefix="0" xfId="0">
      <alignment vertical="top"/>
    </xf>
    <xf numFmtId="3" fontId="13" fillId="3" borderId="1" applyAlignment="1" pivotButton="0" quotePrefix="0" xfId="0">
      <alignment vertical="top"/>
    </xf>
    <xf numFmtId="166" fontId="13" fillId="3" borderId="1" applyAlignment="1" pivotButton="0" quotePrefix="0" xfId="0">
      <alignment vertical="top"/>
    </xf>
    <xf numFmtId="0" fontId="8" fillId="4" borderId="1" applyAlignment="1" pivotButton="0" quotePrefix="0" xfId="0">
      <alignment vertical="top"/>
    </xf>
    <xf numFmtId="0" fontId="5" fillId="0" borderId="3" applyAlignment="1" pivotButton="0" quotePrefix="0" xfId="0">
      <alignment vertical="top" wrapText="1"/>
    </xf>
    <xf numFmtId="3" fontId="5" fillId="3" borderId="1" applyAlignment="1" pivotButton="0" quotePrefix="0" xfId="0">
      <alignment vertical="top" wrapText="1"/>
    </xf>
    <xf numFmtId="0" fontId="8" fillId="0" borderId="3" applyAlignment="1" pivotButton="0" quotePrefix="0" xfId="0">
      <alignment vertical="top" wrapText="1"/>
    </xf>
    <xf numFmtId="3" fontId="8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Arial"/>
        <b val="1"/>
      </font>
      <fill>
        <patternFill patternType="solid">
          <fgColor rgb="00FFF3D6"/>
          <bgColor rgb="00FFF3D6"/>
        </patternFill>
      </fill>
    </dxf>
    <dxf>
      <fill>
        <patternFill patternType="solid">
          <fgColor rgb="00FBE3DE"/>
          <bgColor rgb="00FBE3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5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GROW TRACK  ·  BUILDER</t>
        </is>
      </c>
    </row>
    <row r="3" ht="34" customHeight="1">
      <c r="B3" s="2" t="inlineStr">
        <is>
          <t>Client Sessions</t>
        </is>
      </c>
    </row>
    <row r="4" ht="30" customHeight="1">
      <c r="B4" s="3" t="inlineStr">
        <is>
          <t>Track every client's package, sessions used and left, next session and renewal date, so nobody runs out without a conversation first.</t>
        </is>
      </c>
    </row>
    <row r="6">
      <c r="B6" s="1" t="inlineStr">
        <is>
          <t>HOW TO USE IT</t>
        </is>
      </c>
    </row>
    <row r="7" ht="32" customHeight="1">
      <c r="B7" s="4" t="inlineStr">
        <is>
          <t>1.  One row per client package. Type the client, the package, sessions bought and the price paid.</t>
        </is>
      </c>
    </row>
    <row r="8" ht="16" customHeight="1">
      <c r="B8" s="4" t="inlineStr">
        <is>
          <t>2.  After every session, add one to Sessions used and type the next session date.</t>
        </is>
      </c>
    </row>
    <row r="9" ht="16" customHeight="1">
      <c r="B9" s="4" t="inlineStr">
        <is>
          <t>3.  Read Sessions left and Renew?. One left: have the renewal talk at that session, not after.</t>
        </is>
      </c>
    </row>
    <row r="10" ht="16" customHeight="1">
      <c r="B10" s="4" t="inlineStr">
        <is>
          <t>4.  No next session booked? The sheet flags it. Book it before they leave.</t>
        </is>
      </c>
    </row>
    <row r="12">
      <c r="B12" s="1" t="inlineStr">
        <is>
          <t>CELL COLORS</t>
        </is>
      </c>
    </row>
    <row r="13">
      <c r="B13" s="5" t="inlineStr">
        <is>
          <t>White cells: you type here.</t>
        </is>
      </c>
    </row>
    <row r="14">
      <c r="B14" s="6" t="inlineStr">
        <is>
          <t>Grey cells: calculated for you. Leave them alone.</t>
        </is>
      </c>
    </row>
    <row r="15">
      <c r="B15" s="7" t="inlineStr">
        <is>
          <t>Lilac cells: the answer you came for.</t>
        </is>
      </c>
    </row>
    <row r="17">
      <c r="B17" s="1" t="inlineStr">
        <is>
          <t>OPEN IT ANYWHERE</t>
        </is>
      </c>
    </row>
    <row r="18" ht="30" customHeight="1">
      <c r="B18" s="8" t="inlineStr">
        <is>
          <t>Google Sheets: go to sheets.new, then File &gt; Import &gt; Upload this file &gt; Replace spreadsheet. Formulas and dropdowns come with it.</t>
        </is>
      </c>
    </row>
    <row r="19" ht="15" customHeight="1">
      <c r="B19" s="8" t="inlineStr">
        <is>
          <t>Excel: double-click the file. Numbers on a Mac: open it with Numbers.</t>
        </is>
      </c>
    </row>
    <row r="20" ht="15" customHeight="1">
      <c r="B20" s="8" t="inlineStr">
        <is>
          <t>Phone: upload it to Google Drive, then open it in the Google Sheets app.</t>
        </is>
      </c>
    </row>
    <row r="22" ht="30" customHeight="1">
      <c r="B22" s="9" t="inlineStr">
        <is>
          <t>Track sessions, not feelings. Ask every client what changed for them, and write it down with their permission.</t>
        </is>
      </c>
    </row>
    <row r="24">
      <c r="B24" s="10" t="inlineStr">
        <is>
          <t>Make today day one.  ·  127group.io</t>
        </is>
      </c>
    </row>
    <row r="25">
      <c r="B25" s="11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3"/>
  <sheetViews>
    <sheetView showGridLines="0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9" customWidth="1" min="3" max="3"/>
    <col width="9" customWidth="1" min="4" max="4"/>
    <col width="10" customWidth="1" min="5" max="5"/>
    <col width="11" customWidth="1" min="6" max="6"/>
    <col width="11" customWidth="1" min="7" max="7"/>
    <col width="9" customWidth="1" min="8" max="8"/>
    <col width="10" customWidth="1" min="9" max="9"/>
    <col width="18" customWidth="1" min="10" max="10"/>
  </cols>
  <sheetData>
    <row r="1" ht="26" customHeight="1">
      <c r="A1" s="12" t="inlineStr">
        <is>
          <t>Client sessions</t>
        </is>
      </c>
    </row>
    <row r="2" ht="16" customHeight="1">
      <c r="A2" s="13" t="inlineStr">
        <is>
          <t>Update after every session.</t>
        </is>
      </c>
    </row>
    <row r="3" ht="40" customHeight="1">
      <c r="A3" s="14" t="inlineStr">
        <is>
          <t>Client</t>
        </is>
      </c>
      <c r="B3" s="14" t="inlineStr">
        <is>
          <t>Package</t>
        </is>
      </c>
      <c r="C3" s="14" t="inlineStr">
        <is>
          <t>Sessions bought</t>
        </is>
      </c>
      <c r="D3" s="14" t="inlineStr">
        <is>
          <t>Sessions used</t>
        </is>
      </c>
      <c r="E3" s="14" t="inlineStr">
        <is>
          <t>Price paid ($)</t>
        </is>
      </c>
      <c r="F3" s="14" t="inlineStr">
        <is>
          <t>Started</t>
        </is>
      </c>
      <c r="G3" s="14" t="inlineStr">
        <is>
          <t>Next session</t>
        </is>
      </c>
      <c r="H3" s="15" t="inlineStr">
        <is>
          <t>Sessions left</t>
        </is>
      </c>
      <c r="I3" s="15" t="inlineStr">
        <is>
          <t>Per session ($)</t>
        </is>
      </c>
      <c r="J3" s="15" t="inlineStr">
        <is>
          <t>Renew?</t>
        </is>
      </c>
    </row>
    <row r="4">
      <c r="A4" s="16" t="n"/>
      <c r="B4" s="16" t="n"/>
      <c r="C4" s="17" t="n"/>
      <c r="D4" s="17" t="n">
        <v>0</v>
      </c>
      <c r="E4" s="18" t="n"/>
      <c r="F4" s="19" t="n"/>
      <c r="G4" s="19" t="n"/>
      <c r="H4" s="20">
        <f>IF(C4="","",C4-N(D4))</f>
        <v/>
      </c>
      <c r="I4" s="21">
        <f>IF(OR(E4="",N(C4)=0),"",E4/C4)</f>
        <v/>
      </c>
      <c r="J4" s="22">
        <f>IF(H4="","",IF(H4&lt;=0,"Package done",IF(H4&lt;=1,"Talk renewal now",IF(G4="","Book next session",""))))</f>
        <v/>
      </c>
    </row>
    <row r="5">
      <c r="A5" s="16" t="n"/>
      <c r="B5" s="16" t="n"/>
      <c r="C5" s="17" t="n"/>
      <c r="D5" s="17" t="n">
        <v>0</v>
      </c>
      <c r="E5" s="18" t="n"/>
      <c r="F5" s="19" t="n"/>
      <c r="G5" s="19" t="n"/>
      <c r="H5" s="20">
        <f>IF(C5="","",C5-N(D5))</f>
        <v/>
      </c>
      <c r="I5" s="21">
        <f>IF(OR(E5="",N(C5)=0),"",E5/C5)</f>
        <v/>
      </c>
      <c r="J5" s="22">
        <f>IF(H5="","",IF(H5&lt;=0,"Package done",IF(H5&lt;=1,"Talk renewal now",IF(G5="","Book next session",""))))</f>
        <v/>
      </c>
    </row>
    <row r="6">
      <c r="A6" s="16" t="n"/>
      <c r="B6" s="16" t="n"/>
      <c r="C6" s="17" t="n"/>
      <c r="D6" s="17" t="n">
        <v>0</v>
      </c>
      <c r="E6" s="18" t="n"/>
      <c r="F6" s="19" t="n"/>
      <c r="G6" s="19" t="n"/>
      <c r="H6" s="20">
        <f>IF(C6="","",C6-N(D6))</f>
        <v/>
      </c>
      <c r="I6" s="21">
        <f>IF(OR(E6="",N(C6)=0),"",E6/C6)</f>
        <v/>
      </c>
      <c r="J6" s="22">
        <f>IF(H6="","",IF(H6&lt;=0,"Package done",IF(H6&lt;=1,"Talk renewal now",IF(G6="","Book next session",""))))</f>
        <v/>
      </c>
    </row>
    <row r="7">
      <c r="A7" s="16" t="n"/>
      <c r="B7" s="16" t="n"/>
      <c r="C7" s="17" t="n"/>
      <c r="D7" s="17" t="n">
        <v>0</v>
      </c>
      <c r="E7" s="18" t="n"/>
      <c r="F7" s="19" t="n"/>
      <c r="G7" s="19" t="n"/>
      <c r="H7" s="20">
        <f>IF(C7="","",C7-N(D7))</f>
        <v/>
      </c>
      <c r="I7" s="21">
        <f>IF(OR(E7="",N(C7)=0),"",E7/C7)</f>
        <v/>
      </c>
      <c r="J7" s="22">
        <f>IF(H7="","",IF(H7&lt;=0,"Package done",IF(H7&lt;=1,"Talk renewal now",IF(G7="","Book next session",""))))</f>
        <v/>
      </c>
    </row>
    <row r="8">
      <c r="A8" s="16" t="n"/>
      <c r="B8" s="16" t="n"/>
      <c r="C8" s="17" t="n"/>
      <c r="D8" s="17" t="n">
        <v>0</v>
      </c>
      <c r="E8" s="18" t="n"/>
      <c r="F8" s="19" t="n"/>
      <c r="G8" s="19" t="n"/>
      <c r="H8" s="20">
        <f>IF(C8="","",C8-N(D8))</f>
        <v/>
      </c>
      <c r="I8" s="21">
        <f>IF(OR(E8="",N(C8)=0),"",E8/C8)</f>
        <v/>
      </c>
      <c r="J8" s="22">
        <f>IF(H8="","",IF(H8&lt;=0,"Package done",IF(H8&lt;=1,"Talk renewal now",IF(G8="","Book next session",""))))</f>
        <v/>
      </c>
    </row>
    <row r="9">
      <c r="A9" s="16" t="n"/>
      <c r="B9" s="16" t="n"/>
      <c r="C9" s="17" t="n"/>
      <c r="D9" s="17" t="n">
        <v>0</v>
      </c>
      <c r="E9" s="18" t="n"/>
      <c r="F9" s="19" t="n"/>
      <c r="G9" s="19" t="n"/>
      <c r="H9" s="20">
        <f>IF(C9="","",C9-N(D9))</f>
        <v/>
      </c>
      <c r="I9" s="21">
        <f>IF(OR(E9="",N(C9)=0),"",E9/C9)</f>
        <v/>
      </c>
      <c r="J9" s="22">
        <f>IF(H9="","",IF(H9&lt;=0,"Package done",IF(H9&lt;=1,"Talk renewal now",IF(G9="","Book next session",""))))</f>
        <v/>
      </c>
    </row>
    <row r="10">
      <c r="A10" s="16" t="n"/>
      <c r="B10" s="16" t="n"/>
      <c r="C10" s="17" t="n"/>
      <c r="D10" s="17" t="n">
        <v>0</v>
      </c>
      <c r="E10" s="18" t="n"/>
      <c r="F10" s="19" t="n"/>
      <c r="G10" s="19" t="n"/>
      <c r="H10" s="20">
        <f>IF(C10="","",C10-N(D10))</f>
        <v/>
      </c>
      <c r="I10" s="21">
        <f>IF(OR(E10="",N(C10)=0),"",E10/C10)</f>
        <v/>
      </c>
      <c r="J10" s="22">
        <f>IF(H10="","",IF(H10&lt;=0,"Package done",IF(H10&lt;=1,"Talk renewal now",IF(G10="","Book next session",""))))</f>
        <v/>
      </c>
    </row>
    <row r="11">
      <c r="A11" s="16" t="n"/>
      <c r="B11" s="16" t="n"/>
      <c r="C11" s="17" t="n"/>
      <c r="D11" s="17" t="n">
        <v>0</v>
      </c>
      <c r="E11" s="18" t="n"/>
      <c r="F11" s="19" t="n"/>
      <c r="G11" s="19" t="n"/>
      <c r="H11" s="20">
        <f>IF(C11="","",C11-N(D11))</f>
        <v/>
      </c>
      <c r="I11" s="21">
        <f>IF(OR(E11="",N(C11)=0),"",E11/C11)</f>
        <v/>
      </c>
      <c r="J11" s="22">
        <f>IF(H11="","",IF(H11&lt;=0,"Package done",IF(H11&lt;=1,"Talk renewal now",IF(G11="","Book next session",""))))</f>
        <v/>
      </c>
    </row>
    <row r="12">
      <c r="A12" s="16" t="n"/>
      <c r="B12" s="16" t="n"/>
      <c r="C12" s="17" t="n"/>
      <c r="D12" s="17" t="n">
        <v>0</v>
      </c>
      <c r="E12" s="18" t="n"/>
      <c r="F12" s="19" t="n"/>
      <c r="G12" s="19" t="n"/>
      <c r="H12" s="20">
        <f>IF(C12="","",C12-N(D12))</f>
        <v/>
      </c>
      <c r="I12" s="21">
        <f>IF(OR(E12="",N(C12)=0),"",E12/C12)</f>
        <v/>
      </c>
      <c r="J12" s="22">
        <f>IF(H12="","",IF(H12&lt;=0,"Package done",IF(H12&lt;=1,"Talk renewal now",IF(G12="","Book next session",""))))</f>
        <v/>
      </c>
    </row>
    <row r="13">
      <c r="A13" s="16" t="n"/>
      <c r="B13" s="16" t="n"/>
      <c r="C13" s="17" t="n"/>
      <c r="D13" s="17" t="n">
        <v>0</v>
      </c>
      <c r="E13" s="18" t="n"/>
      <c r="F13" s="19" t="n"/>
      <c r="G13" s="19" t="n"/>
      <c r="H13" s="20">
        <f>IF(C13="","",C13-N(D13))</f>
        <v/>
      </c>
      <c r="I13" s="21">
        <f>IF(OR(E13="",N(C13)=0),"",E13/C13)</f>
        <v/>
      </c>
      <c r="J13" s="22">
        <f>IF(H13="","",IF(H13&lt;=0,"Package done",IF(H13&lt;=1,"Talk renewal now",IF(G13="","Book next session",""))))</f>
        <v/>
      </c>
    </row>
    <row r="14">
      <c r="A14" s="16" t="n"/>
      <c r="B14" s="16" t="n"/>
      <c r="C14" s="17" t="n"/>
      <c r="D14" s="17" t="n">
        <v>0</v>
      </c>
      <c r="E14" s="18" t="n"/>
      <c r="F14" s="19" t="n"/>
      <c r="G14" s="19" t="n"/>
      <c r="H14" s="20">
        <f>IF(C14="","",C14-N(D14))</f>
        <v/>
      </c>
      <c r="I14" s="21">
        <f>IF(OR(E14="",N(C14)=0),"",E14/C14)</f>
        <v/>
      </c>
      <c r="J14" s="22">
        <f>IF(H14="","",IF(H14&lt;=0,"Package done",IF(H14&lt;=1,"Talk renewal now",IF(G14="","Book next session",""))))</f>
        <v/>
      </c>
    </row>
    <row r="15">
      <c r="A15" s="16" t="n"/>
      <c r="B15" s="16" t="n"/>
      <c r="C15" s="17" t="n"/>
      <c r="D15" s="17" t="n">
        <v>0</v>
      </c>
      <c r="E15" s="18" t="n"/>
      <c r="F15" s="19" t="n"/>
      <c r="G15" s="19" t="n"/>
      <c r="H15" s="20">
        <f>IF(C15="","",C15-N(D15))</f>
        <v/>
      </c>
      <c r="I15" s="21">
        <f>IF(OR(E15="",N(C15)=0),"",E15/C15)</f>
        <v/>
      </c>
      <c r="J15" s="22">
        <f>IF(H15="","",IF(H15&lt;=0,"Package done",IF(H15&lt;=1,"Talk renewal now",IF(G15="","Book next session",""))))</f>
        <v/>
      </c>
    </row>
    <row r="16">
      <c r="A16" s="16" t="n"/>
      <c r="B16" s="16" t="n"/>
      <c r="C16" s="17" t="n"/>
      <c r="D16" s="17" t="n">
        <v>0</v>
      </c>
      <c r="E16" s="18" t="n"/>
      <c r="F16" s="19" t="n"/>
      <c r="G16" s="19" t="n"/>
      <c r="H16" s="20">
        <f>IF(C16="","",C16-N(D16))</f>
        <v/>
      </c>
      <c r="I16" s="21">
        <f>IF(OR(E16="",N(C16)=0),"",E16/C16)</f>
        <v/>
      </c>
      <c r="J16" s="22">
        <f>IF(H16="","",IF(H16&lt;=0,"Package done",IF(H16&lt;=1,"Talk renewal now",IF(G16="","Book next session",""))))</f>
        <v/>
      </c>
    </row>
    <row r="17">
      <c r="A17" s="16" t="n"/>
      <c r="B17" s="16" t="n"/>
      <c r="C17" s="17" t="n"/>
      <c r="D17" s="17" t="n">
        <v>0</v>
      </c>
      <c r="E17" s="18" t="n"/>
      <c r="F17" s="19" t="n"/>
      <c r="G17" s="19" t="n"/>
      <c r="H17" s="20">
        <f>IF(C17="","",C17-N(D17))</f>
        <v/>
      </c>
      <c r="I17" s="21">
        <f>IF(OR(E17="",N(C17)=0),"",E17/C17)</f>
        <v/>
      </c>
      <c r="J17" s="22">
        <f>IF(H17="","",IF(H17&lt;=0,"Package done",IF(H17&lt;=1,"Talk renewal now",IF(G17="","Book next session",""))))</f>
        <v/>
      </c>
    </row>
    <row r="18">
      <c r="A18" s="16" t="n"/>
      <c r="B18" s="16" t="n"/>
      <c r="C18" s="17" t="n"/>
      <c r="D18" s="17" t="n">
        <v>0</v>
      </c>
      <c r="E18" s="18" t="n"/>
      <c r="F18" s="19" t="n"/>
      <c r="G18" s="19" t="n"/>
      <c r="H18" s="20">
        <f>IF(C18="","",C18-N(D18))</f>
        <v/>
      </c>
      <c r="I18" s="21">
        <f>IF(OR(E18="",N(C18)=0),"",E18/C18)</f>
        <v/>
      </c>
      <c r="J18" s="22">
        <f>IF(H18="","",IF(H18&lt;=0,"Package done",IF(H18&lt;=1,"Talk renewal now",IF(G18="","Book next session",""))))</f>
        <v/>
      </c>
    </row>
    <row r="19">
      <c r="A19" s="16" t="n"/>
      <c r="B19" s="16" t="n"/>
      <c r="C19" s="17" t="n"/>
      <c r="D19" s="17" t="n">
        <v>0</v>
      </c>
      <c r="E19" s="18" t="n"/>
      <c r="F19" s="19" t="n"/>
      <c r="G19" s="19" t="n"/>
      <c r="H19" s="20">
        <f>IF(C19="","",C19-N(D19))</f>
        <v/>
      </c>
      <c r="I19" s="21">
        <f>IF(OR(E19="",N(C19)=0),"",E19/C19)</f>
        <v/>
      </c>
      <c r="J19" s="22">
        <f>IF(H19="","",IF(H19&lt;=0,"Package done",IF(H19&lt;=1,"Talk renewal now",IF(G19="","Book next session",""))))</f>
        <v/>
      </c>
    </row>
    <row r="20">
      <c r="A20" s="16" t="n"/>
      <c r="B20" s="16" t="n"/>
      <c r="C20" s="17" t="n"/>
      <c r="D20" s="17" t="n">
        <v>0</v>
      </c>
      <c r="E20" s="18" t="n"/>
      <c r="F20" s="19" t="n"/>
      <c r="G20" s="19" t="n"/>
      <c r="H20" s="20">
        <f>IF(C20="","",C20-N(D20))</f>
        <v/>
      </c>
      <c r="I20" s="21">
        <f>IF(OR(E20="",N(C20)=0),"",E20/C20)</f>
        <v/>
      </c>
      <c r="J20" s="22">
        <f>IF(H20="","",IF(H20&lt;=0,"Package done",IF(H20&lt;=1,"Talk renewal now",IF(G20="","Book next session",""))))</f>
        <v/>
      </c>
    </row>
    <row r="21">
      <c r="A21" s="16" t="n"/>
      <c r="B21" s="16" t="n"/>
      <c r="C21" s="17" t="n"/>
      <c r="D21" s="17" t="n">
        <v>0</v>
      </c>
      <c r="E21" s="18" t="n"/>
      <c r="F21" s="19" t="n"/>
      <c r="G21" s="19" t="n"/>
      <c r="H21" s="20">
        <f>IF(C21="","",C21-N(D21))</f>
        <v/>
      </c>
      <c r="I21" s="21">
        <f>IF(OR(E21="",N(C21)=0),"",E21/C21)</f>
        <v/>
      </c>
      <c r="J21" s="22">
        <f>IF(H21="","",IF(H21&lt;=0,"Package done",IF(H21&lt;=1,"Talk renewal now",IF(G21="","Book next session",""))))</f>
        <v/>
      </c>
    </row>
    <row r="22">
      <c r="A22" s="16" t="n"/>
      <c r="B22" s="16" t="n"/>
      <c r="C22" s="17" t="n"/>
      <c r="D22" s="17" t="n">
        <v>0</v>
      </c>
      <c r="E22" s="18" t="n"/>
      <c r="F22" s="19" t="n"/>
      <c r="G22" s="19" t="n"/>
      <c r="H22" s="20">
        <f>IF(C22="","",C22-N(D22))</f>
        <v/>
      </c>
      <c r="I22" s="21">
        <f>IF(OR(E22="",N(C22)=0),"",E22/C22)</f>
        <v/>
      </c>
      <c r="J22" s="22">
        <f>IF(H22="","",IF(H22&lt;=0,"Package done",IF(H22&lt;=1,"Talk renewal now",IF(G22="","Book next session",""))))</f>
        <v/>
      </c>
    </row>
    <row r="23">
      <c r="A23" s="16" t="n"/>
      <c r="B23" s="16" t="n"/>
      <c r="C23" s="17" t="n"/>
      <c r="D23" s="17" t="n">
        <v>0</v>
      </c>
      <c r="E23" s="18" t="n"/>
      <c r="F23" s="19" t="n"/>
      <c r="G23" s="19" t="n"/>
      <c r="H23" s="20">
        <f>IF(C23="","",C23-N(D23))</f>
        <v/>
      </c>
      <c r="I23" s="21">
        <f>IF(OR(E23="",N(C23)=0),"",E23/C23)</f>
        <v/>
      </c>
      <c r="J23" s="22">
        <f>IF(H23="","",IF(H23&lt;=0,"Package done",IF(H23&lt;=1,"Talk renewal now",IF(G23="","Book next session",""))))</f>
        <v/>
      </c>
    </row>
    <row r="24">
      <c r="A24" s="16" t="n"/>
      <c r="B24" s="16" t="n"/>
      <c r="C24" s="17" t="n"/>
      <c r="D24" s="17" t="n">
        <v>0</v>
      </c>
      <c r="E24" s="18" t="n"/>
      <c r="F24" s="19" t="n"/>
      <c r="G24" s="19" t="n"/>
      <c r="H24" s="20">
        <f>IF(C24="","",C24-N(D24))</f>
        <v/>
      </c>
      <c r="I24" s="21">
        <f>IF(OR(E24="",N(C24)=0),"",E24/C24)</f>
        <v/>
      </c>
      <c r="J24" s="22">
        <f>IF(H24="","",IF(H24&lt;=0,"Package done",IF(H24&lt;=1,"Talk renewal now",IF(G24="","Book next session",""))))</f>
        <v/>
      </c>
    </row>
    <row r="25">
      <c r="A25" s="16" t="n"/>
      <c r="B25" s="16" t="n"/>
      <c r="C25" s="17" t="n"/>
      <c r="D25" s="17" t="n">
        <v>0</v>
      </c>
      <c r="E25" s="18" t="n"/>
      <c r="F25" s="19" t="n"/>
      <c r="G25" s="19" t="n"/>
      <c r="H25" s="20">
        <f>IF(C25="","",C25-N(D25))</f>
        <v/>
      </c>
      <c r="I25" s="21">
        <f>IF(OR(E25="",N(C25)=0),"",E25/C25)</f>
        <v/>
      </c>
      <c r="J25" s="22">
        <f>IF(H25="","",IF(H25&lt;=0,"Package done",IF(H25&lt;=1,"Talk renewal now",IF(G25="","Book next session",""))))</f>
        <v/>
      </c>
    </row>
    <row r="26">
      <c r="A26" s="16" t="n"/>
      <c r="B26" s="16" t="n"/>
      <c r="C26" s="17" t="n"/>
      <c r="D26" s="17" t="n">
        <v>0</v>
      </c>
      <c r="E26" s="18" t="n"/>
      <c r="F26" s="19" t="n"/>
      <c r="G26" s="19" t="n"/>
      <c r="H26" s="20">
        <f>IF(C26="","",C26-N(D26))</f>
        <v/>
      </c>
      <c r="I26" s="21">
        <f>IF(OR(E26="",N(C26)=0),"",E26/C26)</f>
        <v/>
      </c>
      <c r="J26" s="22">
        <f>IF(H26="","",IF(H26&lt;=0,"Package done",IF(H26&lt;=1,"Talk renewal now",IF(G26="","Book next session",""))))</f>
        <v/>
      </c>
    </row>
    <row r="27">
      <c r="A27" s="16" t="n"/>
      <c r="B27" s="16" t="n"/>
      <c r="C27" s="17" t="n"/>
      <c r="D27" s="17" t="n">
        <v>0</v>
      </c>
      <c r="E27" s="18" t="n"/>
      <c r="F27" s="19" t="n"/>
      <c r="G27" s="19" t="n"/>
      <c r="H27" s="20">
        <f>IF(C27="","",C27-N(D27))</f>
        <v/>
      </c>
      <c r="I27" s="21">
        <f>IF(OR(E27="",N(C27)=0),"",E27/C27)</f>
        <v/>
      </c>
      <c r="J27" s="22">
        <f>IF(H27="","",IF(H27&lt;=0,"Package done",IF(H27&lt;=1,"Talk renewal now",IF(G27="","Book next session",""))))</f>
        <v/>
      </c>
    </row>
    <row r="28">
      <c r="A28" s="16" t="n"/>
      <c r="B28" s="16" t="n"/>
      <c r="C28" s="17" t="n"/>
      <c r="D28" s="17" t="n">
        <v>0</v>
      </c>
      <c r="E28" s="18" t="n"/>
      <c r="F28" s="19" t="n"/>
      <c r="G28" s="19" t="n"/>
      <c r="H28" s="20">
        <f>IF(C28="","",C28-N(D28))</f>
        <v/>
      </c>
      <c r="I28" s="21">
        <f>IF(OR(E28="",N(C28)=0),"",E28/C28)</f>
        <v/>
      </c>
      <c r="J28" s="22">
        <f>IF(H28="","",IF(H28&lt;=0,"Package done",IF(H28&lt;=1,"Talk renewal now",IF(G28="","Book next session",""))))</f>
        <v/>
      </c>
    </row>
    <row r="29">
      <c r="A29" s="16" t="n"/>
      <c r="B29" s="16" t="n"/>
      <c r="C29" s="17" t="n"/>
      <c r="D29" s="17" t="n">
        <v>0</v>
      </c>
      <c r="E29" s="18" t="n"/>
      <c r="F29" s="19" t="n"/>
      <c r="G29" s="19" t="n"/>
      <c r="H29" s="20">
        <f>IF(C29="","",C29-N(D29))</f>
        <v/>
      </c>
      <c r="I29" s="21">
        <f>IF(OR(E29="",N(C29)=0),"",E29/C29)</f>
        <v/>
      </c>
      <c r="J29" s="22">
        <f>IF(H29="","",IF(H29&lt;=0,"Package done",IF(H29&lt;=1,"Talk renewal now",IF(G29="","Book next session",""))))</f>
        <v/>
      </c>
    </row>
    <row r="30">
      <c r="A30" s="16" t="n"/>
      <c r="B30" s="16" t="n"/>
      <c r="C30" s="17" t="n"/>
      <c r="D30" s="17" t="n">
        <v>0</v>
      </c>
      <c r="E30" s="18" t="n"/>
      <c r="F30" s="19" t="n"/>
      <c r="G30" s="19" t="n"/>
      <c r="H30" s="20">
        <f>IF(C30="","",C30-N(D30))</f>
        <v/>
      </c>
      <c r="I30" s="21">
        <f>IF(OR(E30="",N(C30)=0),"",E30/C30)</f>
        <v/>
      </c>
      <c r="J30" s="22">
        <f>IF(H30="","",IF(H30&lt;=0,"Package done",IF(H30&lt;=1,"Talk renewal now",IF(G30="","Book next session",""))))</f>
        <v/>
      </c>
    </row>
    <row r="31">
      <c r="A31" s="16" t="n"/>
      <c r="B31" s="16" t="n"/>
      <c r="C31" s="17" t="n"/>
      <c r="D31" s="17" t="n">
        <v>0</v>
      </c>
      <c r="E31" s="18" t="n"/>
      <c r="F31" s="19" t="n"/>
      <c r="G31" s="19" t="n"/>
      <c r="H31" s="20">
        <f>IF(C31="","",C31-N(D31))</f>
        <v/>
      </c>
      <c r="I31" s="21">
        <f>IF(OR(E31="",N(C31)=0),"",E31/C31)</f>
        <v/>
      </c>
      <c r="J31" s="22">
        <f>IF(H31="","",IF(H31&lt;=0,"Package done",IF(H31&lt;=1,"Talk renewal now",IF(G31="","Book next session",""))))</f>
        <v/>
      </c>
    </row>
    <row r="32">
      <c r="A32" s="16" t="n"/>
      <c r="B32" s="16" t="n"/>
      <c r="C32" s="17" t="n"/>
      <c r="D32" s="17" t="n">
        <v>0</v>
      </c>
      <c r="E32" s="18" t="n"/>
      <c r="F32" s="19" t="n"/>
      <c r="G32" s="19" t="n"/>
      <c r="H32" s="20">
        <f>IF(C32="","",C32-N(D32))</f>
        <v/>
      </c>
      <c r="I32" s="21">
        <f>IF(OR(E32="",N(C32)=0),"",E32/C32)</f>
        <v/>
      </c>
      <c r="J32" s="22">
        <f>IF(H32="","",IF(H32&lt;=0,"Package done",IF(H32&lt;=1,"Talk renewal now",IF(G32="","Book next session",""))))</f>
        <v/>
      </c>
    </row>
    <row r="33">
      <c r="A33" s="16" t="n"/>
      <c r="B33" s="16" t="n"/>
      <c r="C33" s="17" t="n"/>
      <c r="D33" s="17" t="n">
        <v>0</v>
      </c>
      <c r="E33" s="18" t="n"/>
      <c r="F33" s="19" t="n"/>
      <c r="G33" s="19" t="n"/>
      <c r="H33" s="20">
        <f>IF(C33="","",C33-N(D33))</f>
        <v/>
      </c>
      <c r="I33" s="21">
        <f>IF(OR(E33="",N(C33)=0),"",E33/C33)</f>
        <v/>
      </c>
      <c r="J33" s="22">
        <f>IF(H33="","",IF(H33&lt;=0,"Package done",IF(H33&lt;=1,"Talk renewal now",IF(G33="","Book next session",""))))</f>
        <v/>
      </c>
    </row>
    <row r="34">
      <c r="A34" s="16" t="n"/>
      <c r="B34" s="16" t="n"/>
      <c r="C34" s="17" t="n"/>
      <c r="D34" s="17" t="n">
        <v>0</v>
      </c>
      <c r="E34" s="18" t="n"/>
      <c r="F34" s="19" t="n"/>
      <c r="G34" s="19" t="n"/>
      <c r="H34" s="20">
        <f>IF(C34="","",C34-N(D34))</f>
        <v/>
      </c>
      <c r="I34" s="21">
        <f>IF(OR(E34="",N(C34)=0),"",E34/C34)</f>
        <v/>
      </c>
      <c r="J34" s="22">
        <f>IF(H34="","",IF(H34&lt;=0,"Package done",IF(H34&lt;=1,"Talk renewal now",IF(G34="","Book next session",""))))</f>
        <v/>
      </c>
    </row>
    <row r="35">
      <c r="A35" s="16" t="n"/>
      <c r="B35" s="16" t="n"/>
      <c r="C35" s="17" t="n"/>
      <c r="D35" s="17" t="n">
        <v>0</v>
      </c>
      <c r="E35" s="18" t="n"/>
      <c r="F35" s="19" t="n"/>
      <c r="G35" s="19" t="n"/>
      <c r="H35" s="20">
        <f>IF(C35="","",C35-N(D35))</f>
        <v/>
      </c>
      <c r="I35" s="21">
        <f>IF(OR(E35="",N(C35)=0),"",E35/C35)</f>
        <v/>
      </c>
      <c r="J35" s="22">
        <f>IF(H35="","",IF(H35&lt;=0,"Package done",IF(H35&lt;=1,"Talk renewal now",IF(G35="","Book next session",""))))</f>
        <v/>
      </c>
    </row>
    <row r="36">
      <c r="A36" s="16" t="n"/>
      <c r="B36" s="16" t="n"/>
      <c r="C36" s="17" t="n"/>
      <c r="D36" s="17" t="n">
        <v>0</v>
      </c>
      <c r="E36" s="18" t="n"/>
      <c r="F36" s="19" t="n"/>
      <c r="G36" s="19" t="n"/>
      <c r="H36" s="20">
        <f>IF(C36="","",C36-N(D36))</f>
        <v/>
      </c>
      <c r="I36" s="21">
        <f>IF(OR(E36="",N(C36)=0),"",E36/C36)</f>
        <v/>
      </c>
      <c r="J36" s="22">
        <f>IF(H36="","",IF(H36&lt;=0,"Package done",IF(H36&lt;=1,"Talk renewal now",IF(G36="","Book next session",""))))</f>
        <v/>
      </c>
    </row>
    <row r="37">
      <c r="A37" s="16" t="n"/>
      <c r="B37" s="16" t="n"/>
      <c r="C37" s="17" t="n"/>
      <c r="D37" s="17" t="n">
        <v>0</v>
      </c>
      <c r="E37" s="18" t="n"/>
      <c r="F37" s="19" t="n"/>
      <c r="G37" s="19" t="n"/>
      <c r="H37" s="20">
        <f>IF(C37="","",C37-N(D37))</f>
        <v/>
      </c>
      <c r="I37" s="21">
        <f>IF(OR(E37="",N(C37)=0),"",E37/C37)</f>
        <v/>
      </c>
      <c r="J37" s="22">
        <f>IF(H37="","",IF(H37&lt;=0,"Package done",IF(H37&lt;=1,"Talk renewal now",IF(G37="","Book next session",""))))</f>
        <v/>
      </c>
    </row>
    <row r="38">
      <c r="A38" s="16" t="n"/>
      <c r="B38" s="16" t="n"/>
      <c r="C38" s="17" t="n"/>
      <c r="D38" s="17" t="n">
        <v>0</v>
      </c>
      <c r="E38" s="18" t="n"/>
      <c r="F38" s="19" t="n"/>
      <c r="G38" s="19" t="n"/>
      <c r="H38" s="20">
        <f>IF(C38="","",C38-N(D38))</f>
        <v/>
      </c>
      <c r="I38" s="21">
        <f>IF(OR(E38="",N(C38)=0),"",E38/C38)</f>
        <v/>
      </c>
      <c r="J38" s="22">
        <f>IF(H38="","",IF(H38&lt;=0,"Package done",IF(H38&lt;=1,"Talk renewal now",IF(G38="","Book next session",""))))</f>
        <v/>
      </c>
    </row>
    <row r="39">
      <c r="A39" s="16" t="n"/>
      <c r="B39" s="16" t="n"/>
      <c r="C39" s="17" t="n"/>
      <c r="D39" s="17" t="n">
        <v>0</v>
      </c>
      <c r="E39" s="18" t="n"/>
      <c r="F39" s="19" t="n"/>
      <c r="G39" s="19" t="n"/>
      <c r="H39" s="20">
        <f>IF(C39="","",C39-N(D39))</f>
        <v/>
      </c>
      <c r="I39" s="21">
        <f>IF(OR(E39="",N(C39)=0),"",E39/C39)</f>
        <v/>
      </c>
      <c r="J39" s="22">
        <f>IF(H39="","",IF(H39&lt;=0,"Package done",IF(H39&lt;=1,"Talk renewal now",IF(G39="","Book next session",""))))</f>
        <v/>
      </c>
    </row>
    <row r="40">
      <c r="A40" s="16" t="n"/>
      <c r="B40" s="16" t="n"/>
      <c r="C40" s="17" t="n"/>
      <c r="D40" s="17" t="n">
        <v>0</v>
      </c>
      <c r="E40" s="18" t="n"/>
      <c r="F40" s="19" t="n"/>
      <c r="G40" s="19" t="n"/>
      <c r="H40" s="20">
        <f>IF(C40="","",C40-N(D40))</f>
        <v/>
      </c>
      <c r="I40" s="21">
        <f>IF(OR(E40="",N(C40)=0),"",E40/C40)</f>
        <v/>
      </c>
      <c r="J40" s="22">
        <f>IF(H40="","",IF(H40&lt;=0,"Package done",IF(H40&lt;=1,"Talk renewal now",IF(G40="","Book next session",""))))</f>
        <v/>
      </c>
    </row>
    <row r="41">
      <c r="A41" s="16" t="n"/>
      <c r="B41" s="16" t="n"/>
      <c r="C41" s="17" t="n"/>
      <c r="D41" s="17" t="n">
        <v>0</v>
      </c>
      <c r="E41" s="18" t="n"/>
      <c r="F41" s="19" t="n"/>
      <c r="G41" s="19" t="n"/>
      <c r="H41" s="20">
        <f>IF(C41="","",C41-N(D41))</f>
        <v/>
      </c>
      <c r="I41" s="21">
        <f>IF(OR(E41="",N(C41)=0),"",E41/C41)</f>
        <v/>
      </c>
      <c r="J41" s="22">
        <f>IF(H41="","",IF(H41&lt;=0,"Package done",IF(H41&lt;=1,"Talk renewal now",IF(G41="","Book next session",""))))</f>
        <v/>
      </c>
    </row>
    <row r="42">
      <c r="A42" s="16" t="n"/>
      <c r="B42" s="16" t="n"/>
      <c r="C42" s="17" t="n"/>
      <c r="D42" s="17" t="n">
        <v>0</v>
      </c>
      <c r="E42" s="18" t="n"/>
      <c r="F42" s="19" t="n"/>
      <c r="G42" s="19" t="n"/>
      <c r="H42" s="20">
        <f>IF(C42="","",C42-N(D42))</f>
        <v/>
      </c>
      <c r="I42" s="21">
        <f>IF(OR(E42="",N(C42)=0),"",E42/C42)</f>
        <v/>
      </c>
      <c r="J42" s="22">
        <f>IF(H42="","",IF(H42&lt;=0,"Package done",IF(H42&lt;=1,"Talk renewal now",IF(G42="","Book next session",""))))</f>
        <v/>
      </c>
    </row>
    <row r="43">
      <c r="A43" s="16" t="n"/>
      <c r="B43" s="16" t="n"/>
      <c r="C43" s="17" t="n"/>
      <c r="D43" s="17" t="n">
        <v>0</v>
      </c>
      <c r="E43" s="18" t="n"/>
      <c r="F43" s="19" t="n"/>
      <c r="G43" s="19" t="n"/>
      <c r="H43" s="20">
        <f>IF(C43="","",C43-N(D43))</f>
        <v/>
      </c>
      <c r="I43" s="21">
        <f>IF(OR(E43="",N(C43)=0),"",E43/C43)</f>
        <v/>
      </c>
      <c r="J43" s="22">
        <f>IF(H43="","",IF(H43&lt;=0,"Package done",IF(H43&lt;=1,"Talk renewal now",IF(G43="","Book next session",""))))</f>
        <v/>
      </c>
    </row>
    <row r="44">
      <c r="A44" s="16" t="n"/>
      <c r="B44" s="16" t="n"/>
      <c r="C44" s="17" t="n"/>
      <c r="D44" s="17" t="n">
        <v>0</v>
      </c>
      <c r="E44" s="18" t="n"/>
      <c r="F44" s="19" t="n"/>
      <c r="G44" s="19" t="n"/>
      <c r="H44" s="20">
        <f>IF(C44="","",C44-N(D44))</f>
        <v/>
      </c>
      <c r="I44" s="21">
        <f>IF(OR(E44="",N(C44)=0),"",E44/C44)</f>
        <v/>
      </c>
      <c r="J44" s="22">
        <f>IF(H44="","",IF(H44&lt;=0,"Package done",IF(H44&lt;=1,"Talk renewal now",IF(G44="","Book next session",""))))</f>
        <v/>
      </c>
    </row>
    <row r="45">
      <c r="A45" s="16" t="n"/>
      <c r="B45" s="16" t="n"/>
      <c r="C45" s="17" t="n"/>
      <c r="D45" s="17" t="n">
        <v>0</v>
      </c>
      <c r="E45" s="18" t="n"/>
      <c r="F45" s="19" t="n"/>
      <c r="G45" s="19" t="n"/>
      <c r="H45" s="20">
        <f>IF(C45="","",C45-N(D45))</f>
        <v/>
      </c>
      <c r="I45" s="21">
        <f>IF(OR(E45="",N(C45)=0),"",E45/C45)</f>
        <v/>
      </c>
      <c r="J45" s="22">
        <f>IF(H45="","",IF(H45&lt;=0,"Package done",IF(H45&lt;=1,"Talk renewal now",IF(G45="","Book next session",""))))</f>
        <v/>
      </c>
    </row>
    <row r="46">
      <c r="A46" s="16" t="n"/>
      <c r="B46" s="16" t="n"/>
      <c r="C46" s="17" t="n"/>
      <c r="D46" s="17" t="n">
        <v>0</v>
      </c>
      <c r="E46" s="18" t="n"/>
      <c r="F46" s="19" t="n"/>
      <c r="G46" s="19" t="n"/>
      <c r="H46" s="20">
        <f>IF(C46="","",C46-N(D46))</f>
        <v/>
      </c>
      <c r="I46" s="21">
        <f>IF(OR(E46="",N(C46)=0),"",E46/C46)</f>
        <v/>
      </c>
      <c r="J46" s="22">
        <f>IF(H46="","",IF(H46&lt;=0,"Package done",IF(H46&lt;=1,"Talk renewal now",IF(G46="","Book next session",""))))</f>
        <v/>
      </c>
    </row>
    <row r="47">
      <c r="A47" s="16" t="n"/>
      <c r="B47" s="16" t="n"/>
      <c r="C47" s="17" t="n"/>
      <c r="D47" s="17" t="n">
        <v>0</v>
      </c>
      <c r="E47" s="18" t="n"/>
      <c r="F47" s="19" t="n"/>
      <c r="G47" s="19" t="n"/>
      <c r="H47" s="20">
        <f>IF(C47="","",C47-N(D47))</f>
        <v/>
      </c>
      <c r="I47" s="21">
        <f>IF(OR(E47="",N(C47)=0),"",E47/C47)</f>
        <v/>
      </c>
      <c r="J47" s="22">
        <f>IF(H47="","",IF(H47&lt;=0,"Package done",IF(H47&lt;=1,"Talk renewal now",IF(G47="","Book next session",""))))</f>
        <v/>
      </c>
    </row>
    <row r="48">
      <c r="A48" s="16" t="n"/>
      <c r="B48" s="16" t="n"/>
      <c r="C48" s="17" t="n"/>
      <c r="D48" s="17" t="n">
        <v>0</v>
      </c>
      <c r="E48" s="18" t="n"/>
      <c r="F48" s="19" t="n"/>
      <c r="G48" s="19" t="n"/>
      <c r="H48" s="20">
        <f>IF(C48="","",C48-N(D48))</f>
        <v/>
      </c>
      <c r="I48" s="21">
        <f>IF(OR(E48="",N(C48)=0),"",E48/C48)</f>
        <v/>
      </c>
      <c r="J48" s="22">
        <f>IF(H48="","",IF(H48&lt;=0,"Package done",IF(H48&lt;=1,"Talk renewal now",IF(G48="","Book next session",""))))</f>
        <v/>
      </c>
    </row>
    <row r="49">
      <c r="A49" s="16" t="n"/>
      <c r="B49" s="16" t="n"/>
      <c r="C49" s="17" t="n"/>
      <c r="D49" s="17" t="n">
        <v>0</v>
      </c>
      <c r="E49" s="18" t="n"/>
      <c r="F49" s="19" t="n"/>
      <c r="G49" s="19" t="n"/>
      <c r="H49" s="20">
        <f>IF(C49="","",C49-N(D49))</f>
        <v/>
      </c>
      <c r="I49" s="21">
        <f>IF(OR(E49="",N(C49)=0),"",E49/C49)</f>
        <v/>
      </c>
      <c r="J49" s="22">
        <f>IF(H49="","",IF(H49&lt;=0,"Package done",IF(H49&lt;=1,"Talk renewal now",IF(G49="","Book next session",""))))</f>
        <v/>
      </c>
    </row>
    <row r="50">
      <c r="A50" s="16" t="n"/>
      <c r="B50" s="16" t="n"/>
      <c r="C50" s="17" t="n"/>
      <c r="D50" s="17" t="n">
        <v>0</v>
      </c>
      <c r="E50" s="18" t="n"/>
      <c r="F50" s="19" t="n"/>
      <c r="G50" s="19" t="n"/>
      <c r="H50" s="20">
        <f>IF(C50="","",C50-N(D50))</f>
        <v/>
      </c>
      <c r="I50" s="21">
        <f>IF(OR(E50="",N(C50)=0),"",E50/C50)</f>
        <v/>
      </c>
      <c r="J50" s="22">
        <f>IF(H50="","",IF(H50&lt;=0,"Package done",IF(H50&lt;=1,"Talk renewal now",IF(G50="","Book next session",""))))</f>
        <v/>
      </c>
    </row>
    <row r="51">
      <c r="A51" s="16" t="n"/>
      <c r="B51" s="16" t="n"/>
      <c r="C51" s="17" t="n"/>
      <c r="D51" s="17" t="n">
        <v>0</v>
      </c>
      <c r="E51" s="18" t="n"/>
      <c r="F51" s="19" t="n"/>
      <c r="G51" s="19" t="n"/>
      <c r="H51" s="20">
        <f>IF(C51="","",C51-N(D51))</f>
        <v/>
      </c>
      <c r="I51" s="21">
        <f>IF(OR(E51="",N(C51)=0),"",E51/C51)</f>
        <v/>
      </c>
      <c r="J51" s="22">
        <f>IF(H51="","",IF(H51&lt;=0,"Package done",IF(H51&lt;=1,"Talk renewal now",IF(G51="","Book next session",""))))</f>
        <v/>
      </c>
    </row>
    <row r="52">
      <c r="A52" s="16" t="n"/>
      <c r="B52" s="16" t="n"/>
      <c r="C52" s="17" t="n"/>
      <c r="D52" s="17" t="n">
        <v>0</v>
      </c>
      <c r="E52" s="18" t="n"/>
      <c r="F52" s="19" t="n"/>
      <c r="G52" s="19" t="n"/>
      <c r="H52" s="20">
        <f>IF(C52="","",C52-N(D52))</f>
        <v/>
      </c>
      <c r="I52" s="21">
        <f>IF(OR(E52="",N(C52)=0),"",E52/C52)</f>
        <v/>
      </c>
      <c r="J52" s="22">
        <f>IF(H52="","",IF(H52&lt;=0,"Package done",IF(H52&lt;=1,"Talk renewal now",IF(G52="","Book next session",""))))</f>
        <v/>
      </c>
    </row>
    <row r="53">
      <c r="A53" s="16" t="n"/>
      <c r="B53" s="16" t="n"/>
      <c r="C53" s="17" t="n"/>
      <c r="D53" s="17" t="n">
        <v>0</v>
      </c>
      <c r="E53" s="18" t="n"/>
      <c r="F53" s="19" t="n"/>
      <c r="G53" s="19" t="n"/>
      <c r="H53" s="20">
        <f>IF(C53="","",C53-N(D53))</f>
        <v/>
      </c>
      <c r="I53" s="21">
        <f>IF(OR(E53="",N(C53)=0),"",E53/C53)</f>
        <v/>
      </c>
      <c r="J53" s="22">
        <f>IF(H53="","",IF(H53&lt;=0,"Package done",IF(H53&lt;=1,"Talk renewal now",IF(G53="","Book next session",""))))</f>
        <v/>
      </c>
    </row>
  </sheetData>
  <autoFilter ref="A3:J53"/>
  <conditionalFormatting sqref="J4:J53">
    <cfRule type="expression" priority="1" dxfId="0" stopIfTrue="0">
      <formula>$J4="Talk renewal now"</formula>
    </cfRule>
    <cfRule type="expression" priority="2" dxfId="1" stopIfTrue="0">
      <formula>$J4="Book next session"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tabSelected="0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 ht="26" customHeight="1">
      <c r="A1" s="12" t="inlineStr">
        <is>
          <t>Clients summary</t>
        </is>
      </c>
    </row>
    <row r="2">
      <c r="A2" s="13" t="inlineStr">
        <is>
          <t>Calculated from the Clients tab.</t>
        </is>
      </c>
    </row>
    <row r="4">
      <c r="A4" s="1" t="inlineStr">
        <is>
          <t>TODAY</t>
        </is>
      </c>
    </row>
    <row r="5">
      <c r="A5" s="23" t="inlineStr">
        <is>
          <t>Active clients</t>
        </is>
      </c>
      <c r="B5" s="24">
        <f>COUNTIF('Clients'!$H$4:$H$53,"&gt;0")</f>
        <v/>
      </c>
    </row>
    <row r="6">
      <c r="A6" s="25" t="inlineStr">
        <is>
          <t>Renewal talks to have</t>
        </is>
      </c>
      <c r="B6" s="26">
        <f>COUNTIF('Clients'!$J$4:$J$53,"Talk renewal now")</f>
        <v/>
      </c>
    </row>
    <row r="7">
      <c r="A7" s="23" t="inlineStr">
        <is>
          <t>Clients with no next session booked</t>
        </is>
      </c>
      <c r="B7" s="24">
        <f>COUNTIF('Clients'!$J$4:$J$53,"Book next session")</f>
        <v/>
      </c>
    </row>
    <row r="8">
      <c r="A8" s="23" t="inlineStr">
        <is>
          <t>Sessions still owed to clients</t>
        </is>
      </c>
      <c r="B8" s="24">
        <f>SUMIF('Clients'!$H$4:$H$53,"&gt;0")</f>
        <v/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Client Sessions</dc:title>
  <dcterms:created xmlns:dcterms="http://purl.org/dc/terms/" xmlns:xsi="http://www.w3.org/2001/XMLSchema-instance" xsi:type="dcterms:W3CDTF">2026-10-20T03:40:09Z</dcterms:created>
  <dcterms:modified xmlns:dcterms="http://purl.org/dc/terms/" xmlns:xsi="http://www.w3.org/2001/XMLSchema-instance" xsi:type="dcterms:W3CDTF">2026-10-20T03:40:10Z</dcterms:modified>
</cp:coreProperties>
</file>