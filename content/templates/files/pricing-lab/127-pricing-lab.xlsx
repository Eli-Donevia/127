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mpetitors" sheetId="2" state="visible" r:id="rId2"/>
    <sheet xmlns:r="http://schemas.openxmlformats.org/officeDocument/2006/relationships" name="Value and price" sheetId="3" state="visible" r:id="rId3"/>
    <sheet xmlns:r="http://schemas.openxmlformats.org/officeDocument/2006/relationships" name="Price test" sheetId="4" state="visible" r:id="rId4"/>
    <sheet xmlns:r="http://schemas.openxmlformats.org/officeDocument/2006/relationships" name="Test result" sheetId="5" state="visible" r:id="rId5"/>
  </sheets>
  <definedNames>
    <definedName name="_xlnm._FilterDatabase" localSheetId="1" hidden="1">'Competitors'!$A$3:$H$18</definedName>
    <definedName name="_xlnm.Print_Titles" localSheetId="1">'Competitors'!$3:$3</definedName>
    <definedName name="_xlnm._FilterDatabase" localSheetId="3" hidden="1">'Price test'!$A$3:$G$13</definedName>
    <definedName name="_xlnm.Print_Titles" localSheetId="3">'Price test'!$3:$3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.0"/>
    <numFmt numFmtId="166" formatCode="0.0&quot;x&quot;"/>
    <numFmt numFmtId="167" formatCode="ddd, mmm d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166" fontId="8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7" fontId="5" fillId="2" borderId="1" applyAlignment="1" pivotButton="0" quotePrefix="0" xfId="0">
      <alignment vertical="top"/>
    </xf>
    <xf numFmtId="3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127</author>
  </authors>
  <commentList>
    <comment ref="A11" authorId="0" shapeId="0">
      <text>
        <t>e.g. 2 extra gym members a month at $50 = $100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BUILDER</t>
        </is>
      </c>
    </row>
    <row r="3" ht="34" customHeight="1">
      <c r="B3" s="2" t="inlineStr">
        <is>
          <t>Pricing Lab</t>
        </is>
      </c>
    </row>
    <row r="4" ht="30" customHeight="1">
      <c r="B4" s="3" t="inlineStr">
        <is>
          <t>Research five competitors in 30 minutes, tie your price to the value you create, frame it small and large, and test it with five real buyers.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Competitors: set a 30-minute timer. Log five competitors with price, model, what's included and what's missing.</t>
        </is>
      </c>
    </row>
    <row r="8" ht="32" customHeight="1">
      <c r="B8" s="4" t="inlineStr">
        <is>
          <t>2.  Value: put a monthly number on the result you deliver. Extra customers, hours saved, money saved.</t>
        </is>
      </c>
    </row>
    <row r="9" ht="32" customHeight="1">
      <c r="B9" s="4" t="inlineStr">
        <is>
          <t>3.  Price: enter your price. The sheet shows the ROI multiple, price per day and where you sit against competitors.</t>
        </is>
      </c>
    </row>
    <row r="10" ht="16" customHeight="1">
      <c r="B10" s="4" t="inlineStr">
        <is>
          <t>4.  Copy the two framing lines into your One-Page Offer.</t>
        </is>
      </c>
    </row>
    <row r="11" ht="32" customHeight="1">
      <c r="B11" s="4" t="inlineStr">
        <is>
          <t>5.  Test: offer the price to five real buyers. Say it plainly, then stop talking. Log every answer.</t>
        </is>
      </c>
    </row>
    <row r="12" ht="32" customHeight="1">
      <c r="B12" s="4" t="inlineStr">
        <is>
          <t>6.  Five instant yeses? You're probably too cheap. Zero? Check the offer and the customer before you drop the price.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30" customHeight="1">
      <c r="B24" s="9" t="inlineStr">
        <is>
          <t>Only claim value you can back up. Framing helps people see real value. It never hides real cost.</t>
        </is>
      </c>
    </row>
    <row r="26" ht="15" customHeight="1">
      <c r="B26" s="9" t="inlineStr">
        <is>
          <t>Not financial advice. Check local tax and payment rules before you charge regularly.</t>
        </is>
      </c>
    </row>
    <row r="28">
      <c r="B28" s="10" t="inlineStr">
        <is>
          <t>Make today day one.  ·  127group.io</t>
        </is>
      </c>
    </row>
    <row r="29">
      <c r="B29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5" customWidth="1" min="4" max="4"/>
    <col width="30" customWidth="1" min="5" max="5"/>
    <col width="26" customWidth="1" min="6" max="6"/>
    <col width="14" customWidth="1" min="7" max="7"/>
    <col width="16" customWidth="1" min="8" max="8"/>
  </cols>
  <sheetData>
    <row r="1" ht="26" customHeight="1">
      <c r="A1" s="12" t="inlineStr">
        <is>
          <t>Competitor research (30 minutes)</t>
        </is>
      </c>
    </row>
    <row r="2" ht="16" customHeight="1">
      <c r="A2" s="13" t="inlineStr">
        <is>
          <t>Minutes 0-10 search, 10-20 log five, 20-25 low and high, 25-30 the gap.</t>
        </is>
      </c>
    </row>
    <row r="3" ht="40" customHeight="1">
      <c r="A3" s="14" t="inlineStr">
        <is>
          <t>Competitor</t>
        </is>
      </c>
      <c r="B3" s="14" t="inlineStr">
        <is>
          <t>Link or where you saw it</t>
        </is>
      </c>
      <c r="C3" s="14" t="inlineStr">
        <is>
          <t>Price ($)</t>
        </is>
      </c>
      <c r="D3" s="14" t="inlineStr">
        <is>
          <t>Pricing model</t>
        </is>
      </c>
      <c r="E3" s="14" t="inlineStr">
        <is>
          <t>What's included</t>
        </is>
      </c>
      <c r="F3" s="14" t="inlineStr">
        <is>
          <t>What the cheap ones leave out</t>
        </is>
      </c>
      <c r="G3" s="14" t="inlineStr">
        <is>
          <t>Speed / turnaround</t>
        </is>
      </c>
      <c r="H3" s="14" t="inlineStr">
        <is>
          <t>Reviews or proof</t>
        </is>
      </c>
    </row>
    <row r="4">
      <c r="A4" s="15" t="n"/>
      <c r="B4" s="15" t="n"/>
      <c r="C4" s="16" t="n"/>
      <c r="D4" s="15" t="n"/>
      <c r="E4" s="17" t="n"/>
      <c r="F4" s="17" t="n"/>
      <c r="G4" s="15" t="n"/>
      <c r="H4" s="15" t="n"/>
    </row>
    <row r="5">
      <c r="A5" s="15" t="n"/>
      <c r="B5" s="15" t="n"/>
      <c r="C5" s="16" t="n"/>
      <c r="D5" s="15" t="n"/>
      <c r="E5" s="17" t="n"/>
      <c r="F5" s="17" t="n"/>
      <c r="G5" s="15" t="n"/>
      <c r="H5" s="15" t="n"/>
    </row>
    <row r="6">
      <c r="A6" s="15" t="n"/>
      <c r="B6" s="15" t="n"/>
      <c r="C6" s="16" t="n"/>
      <c r="D6" s="15" t="n"/>
      <c r="E6" s="17" t="n"/>
      <c r="F6" s="17" t="n"/>
      <c r="G6" s="15" t="n"/>
      <c r="H6" s="15" t="n"/>
    </row>
    <row r="7">
      <c r="A7" s="15" t="n"/>
      <c r="B7" s="15" t="n"/>
      <c r="C7" s="16" t="n"/>
      <c r="D7" s="15" t="n"/>
      <c r="E7" s="17" t="n"/>
      <c r="F7" s="17" t="n"/>
      <c r="G7" s="15" t="n"/>
      <c r="H7" s="15" t="n"/>
    </row>
    <row r="8">
      <c r="A8" s="15" t="n"/>
      <c r="B8" s="15" t="n"/>
      <c r="C8" s="16" t="n"/>
      <c r="D8" s="15" t="n"/>
      <c r="E8" s="17" t="n"/>
      <c r="F8" s="17" t="n"/>
      <c r="G8" s="15" t="n"/>
      <c r="H8" s="15" t="n"/>
    </row>
    <row r="9">
      <c r="A9" s="15" t="n"/>
      <c r="B9" s="15" t="n"/>
      <c r="C9" s="16" t="n"/>
      <c r="D9" s="15" t="n"/>
      <c r="E9" s="17" t="n"/>
      <c r="F9" s="17" t="n"/>
      <c r="G9" s="15" t="n"/>
      <c r="H9" s="15" t="n"/>
    </row>
    <row r="10">
      <c r="A10" s="15" t="n"/>
      <c r="B10" s="15" t="n"/>
      <c r="C10" s="16" t="n"/>
      <c r="D10" s="15" t="n"/>
      <c r="E10" s="17" t="n"/>
      <c r="F10" s="17" t="n"/>
      <c r="G10" s="15" t="n"/>
      <c r="H10" s="15" t="n"/>
    </row>
    <row r="11">
      <c r="A11" s="15" t="n"/>
      <c r="B11" s="15" t="n"/>
      <c r="C11" s="16" t="n"/>
      <c r="D11" s="15" t="n"/>
      <c r="E11" s="17" t="n"/>
      <c r="F11" s="17" t="n"/>
      <c r="G11" s="15" t="n"/>
      <c r="H11" s="15" t="n"/>
    </row>
    <row r="12">
      <c r="A12" s="15" t="n"/>
      <c r="B12" s="15" t="n"/>
      <c r="C12" s="16" t="n"/>
      <c r="D12" s="15" t="n"/>
      <c r="E12" s="17" t="n"/>
      <c r="F12" s="17" t="n"/>
      <c r="G12" s="15" t="n"/>
      <c r="H12" s="15" t="n"/>
    </row>
    <row r="13">
      <c r="A13" s="15" t="n"/>
      <c r="B13" s="15" t="n"/>
      <c r="C13" s="16" t="n"/>
      <c r="D13" s="15" t="n"/>
      <c r="E13" s="17" t="n"/>
      <c r="F13" s="17" t="n"/>
      <c r="G13" s="15" t="n"/>
      <c r="H13" s="15" t="n"/>
    </row>
    <row r="14">
      <c r="A14" s="15" t="n"/>
      <c r="B14" s="15" t="n"/>
      <c r="C14" s="16" t="n"/>
      <c r="D14" s="15" t="n"/>
      <c r="E14" s="17" t="n"/>
      <c r="F14" s="17" t="n"/>
      <c r="G14" s="15" t="n"/>
      <c r="H14" s="15" t="n"/>
    </row>
    <row r="15">
      <c r="A15" s="15" t="n"/>
      <c r="B15" s="15" t="n"/>
      <c r="C15" s="16" t="n"/>
      <c r="D15" s="15" t="n"/>
      <c r="E15" s="17" t="n"/>
      <c r="F15" s="17" t="n"/>
      <c r="G15" s="15" t="n"/>
      <c r="H15" s="15" t="n"/>
    </row>
    <row r="16">
      <c r="A16" s="15" t="n"/>
      <c r="B16" s="15" t="n"/>
      <c r="C16" s="16" t="n"/>
      <c r="D16" s="15" t="n"/>
      <c r="E16" s="17" t="n"/>
      <c r="F16" s="17" t="n"/>
      <c r="G16" s="15" t="n"/>
      <c r="H16" s="15" t="n"/>
    </row>
    <row r="17">
      <c r="A17" s="15" t="n"/>
      <c r="B17" s="15" t="n"/>
      <c r="C17" s="16" t="n"/>
      <c r="D17" s="15" t="n"/>
      <c r="E17" s="17" t="n"/>
      <c r="F17" s="17" t="n"/>
      <c r="G17" s="15" t="n"/>
      <c r="H17" s="15" t="n"/>
    </row>
    <row r="18">
      <c r="A18" s="15" t="n"/>
      <c r="B18" s="15" t="n"/>
      <c r="C18" s="16" t="n"/>
      <c r="D18" s="15" t="n"/>
      <c r="E18" s="17" t="n"/>
      <c r="F18" s="17" t="n"/>
      <c r="G18" s="15" t="n"/>
      <c r="H18" s="15" t="n"/>
    </row>
  </sheetData>
  <autoFilter ref="A3:H18"/>
  <dataValidations count="1">
    <dataValidation sqref="D4:D18" showDropDown="0" showInputMessage="0" showErrorMessage="0" allowBlank="1" type="list">
      <formula1>"One-time,Monthly,Per job,Pay-for-performance,Tiers"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2" t="inlineStr">
        <is>
          <t>Value, price and framing</t>
        </is>
      </c>
    </row>
    <row r="2">
      <c r="A2" s="13" t="inlineStr">
        <is>
          <t>Price from the value, not your nerves.</t>
        </is>
      </c>
    </row>
    <row r="4">
      <c r="A4" s="1" t="inlineStr">
        <is>
          <t>WHERE COMPETITORS SIT</t>
        </is>
      </c>
    </row>
    <row r="5">
      <c r="A5" s="18" t="inlineStr">
        <is>
          <t>Lowest competitor price</t>
        </is>
      </c>
      <c r="B5" s="19">
        <f>IF(COUNT('Competitors'!$C$4:$C$18)=0,"",MIN('Competitors'!$C$4:$C$18))</f>
        <v/>
      </c>
    </row>
    <row r="6">
      <c r="A6" s="18" t="inlineStr">
        <is>
          <t>Highest competitor price</t>
        </is>
      </c>
      <c r="B6" s="19">
        <f>IF(COUNT('Competitors'!$C$4:$C$18)=0,"",MAX('Competitors'!$C$4:$C$18))</f>
        <v/>
      </c>
    </row>
    <row r="7">
      <c r="A7" s="18" t="inlineStr">
        <is>
          <t>Middle (median) price</t>
        </is>
      </c>
      <c r="B7" s="19">
        <f>IF(COUNT('Competitors'!$C$4:$C$18)=0,"",MEDIAN('Competitors'!$C$4:$C$18))</f>
        <v/>
      </c>
    </row>
    <row r="9">
      <c r="A9" s="1" t="inlineStr">
        <is>
          <t>THE VALUE YOU CREATE (BE HONEST)</t>
        </is>
      </c>
    </row>
    <row r="10" ht="30" customHeight="1">
      <c r="A10" s="18" t="inlineStr">
        <is>
          <t>The outcome, in one line</t>
        </is>
      </c>
      <c r="B10" s="17" t="n"/>
    </row>
    <row r="11">
      <c r="A11" s="18" t="inlineStr">
        <is>
          <t>New revenue for them per month ($)</t>
        </is>
      </c>
      <c r="B11" s="20" t="n"/>
    </row>
    <row r="12">
      <c r="A12" s="18" t="inlineStr">
        <is>
          <t>Hours saved for them per month</t>
        </is>
      </c>
      <c r="B12" s="21" t="n"/>
    </row>
    <row r="13">
      <c r="A13" s="18" t="inlineStr">
        <is>
          <t>What an hour is worth to them ($)</t>
        </is>
      </c>
      <c r="B13" s="20" t="n"/>
    </row>
    <row r="14">
      <c r="A14" s="18" t="inlineStr">
        <is>
          <t>Money saved for them per month ($)</t>
        </is>
      </c>
      <c r="B14" s="20" t="n"/>
    </row>
    <row r="15">
      <c r="A15" s="18" t="inlineStr">
        <is>
          <t>Value per month ($)</t>
        </is>
      </c>
      <c r="B15" s="19">
        <f>N($B$11)+N($B$12)*N($B$13)+N($B$14)</f>
        <v/>
      </c>
    </row>
    <row r="16">
      <c r="A16" s="18" t="inlineStr">
        <is>
          <t>What they spend today on alternatives ($/month)</t>
        </is>
      </c>
      <c r="B16" s="20" t="n"/>
    </row>
    <row r="18">
      <c r="A18" s="1" t="inlineStr">
        <is>
          <t>YOUR PRICE</t>
        </is>
      </c>
    </row>
    <row r="19">
      <c r="A19" s="18" t="inlineStr">
        <is>
          <t>Your price ($)</t>
        </is>
      </c>
      <c r="B19" s="20" t="n"/>
    </row>
    <row r="20">
      <c r="A20" s="18" t="inlineStr">
        <is>
          <t>Billed</t>
        </is>
      </c>
      <c r="B20" s="17" t="inlineStr">
        <is>
          <t>Per month</t>
        </is>
      </c>
    </row>
    <row r="21">
      <c r="A21" s="18" t="inlineStr">
        <is>
          <t>If one time: months the result keeps paying off</t>
        </is>
      </c>
      <c r="B21" s="22" t="n"/>
    </row>
    <row r="22">
      <c r="A22" s="18" t="inlineStr">
        <is>
          <t>Price per month, for comparing ($)</t>
        </is>
      </c>
      <c r="B22" s="19">
        <f>IF($B$19="","",IF($B$20="One time",$B$19/MAX(1,N($B$21)),$B$19))</f>
        <v/>
      </c>
    </row>
    <row r="23">
      <c r="A23" s="23" t="inlineStr">
        <is>
          <t>ROI multiple (value / price per month)</t>
        </is>
      </c>
      <c r="B23" s="24">
        <f>IF(OR($B$22="",N($B$22)=0,N($B$15)=0),"",$B$15/$B$22)</f>
        <v/>
      </c>
    </row>
    <row r="24">
      <c r="A24" s="18" t="inlineStr">
        <is>
          <t>Against competitors</t>
        </is>
      </c>
      <c r="B24" s="25">
        <f>IF(OR($B$19="",$B$5=""),"",IF($B$19&lt;$B$5,"Below everyone: check you are not underpricing",IF($B$19&gt;$B$6,"Above everyone: your offer must clearly show why","Inside the competitor range")))</f>
        <v/>
      </c>
    </row>
    <row r="25">
      <c r="A25" s="23" t="inlineStr">
        <is>
          <t>ROI read</t>
        </is>
      </c>
      <c r="B25" s="26">
        <f>IF($B$23="","",IF($B$23&gt;=3,"Easy yes for the buyer if they believe the value",IF($B$23&gt;=1.5,"Fair deal. Make the proof strong.","Price is close to the value. Expect hesitation.")))</f>
        <v/>
      </c>
    </row>
    <row r="27">
      <c r="A27" s="1" t="inlineStr">
        <is>
          <t>FRAMING (PASTE INTO YOUR ONE-PAGE OFFER)</t>
        </is>
      </c>
    </row>
    <row r="28">
      <c r="A28" s="23" t="inlineStr">
        <is>
          <t>Cost, smallest number</t>
        </is>
      </c>
      <c r="B28" s="26">
        <f>IF($B$19="","",IF($B$20="One time",IF(N($B$21)=0,"Add the months it keeps paying off","That's "&amp;TEXT($B$19/(N($B$21)*30),"$0.00")&amp;" a day over "&amp;N($B$21)&amp;" months"),"That's "&amp;TEXT($B$19/30,"$0.00")&amp;" a day"))</f>
        <v/>
      </c>
    </row>
    <row r="29">
      <c r="A29" s="23" t="inlineStr">
        <is>
          <t>Value, largest number</t>
        </is>
      </c>
      <c r="B29" s="26">
        <f>IF(N($B$15)=0,"","Worth about "&amp;TEXT($B$15*12,"$#,##0")&amp;" a year")</f>
        <v/>
      </c>
    </row>
    <row r="30" ht="44" customHeight="1">
      <c r="A30" s="18" t="inlineStr">
        <is>
          <t>Your ROI story in one sentence</t>
        </is>
      </c>
      <c r="B30" s="17" t="n"/>
    </row>
  </sheetData>
  <dataValidations count="1">
    <dataValidation sqref="B20" showDropDown="0" showInputMessage="0" showErrorMessage="0" allowBlank="1" type="list">
      <formula1>"Per month,One time"</formula1>
    </dataValidation>
  </dataValidation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1" customWidth="1" min="3" max="3"/>
    <col width="10" customWidth="1" min="4" max="4"/>
    <col width="16" customWidth="1" min="5" max="5"/>
    <col width="34" customWidth="1" min="6" max="6"/>
    <col width="11" customWidth="1" min="7" max="7"/>
  </cols>
  <sheetData>
    <row r="1" ht="26" customHeight="1">
      <c r="A1" s="12" t="inlineStr">
        <is>
          <t>Test with 5 real buyers</t>
        </is>
      </c>
    </row>
    <row r="2" ht="16" customHeight="1">
      <c r="A2" s="13" t="inlineStr">
        <is>
          <t>Say the price plainly and stop talking. Ask every no: what would make this a yes?</t>
        </is>
      </c>
    </row>
    <row r="3" ht="40" customHeight="1">
      <c r="A3" s="14" t="inlineStr">
        <is>
          <t>#</t>
        </is>
      </c>
      <c r="B3" s="14" t="inlineStr">
        <is>
          <t>Buyer (real name)</t>
        </is>
      </c>
      <c r="C3" s="14" t="inlineStr">
        <is>
          <t>Matches your customer?</t>
        </is>
      </c>
      <c r="D3" s="14" t="inlineStr">
        <is>
          <t>Price you said ($)</t>
        </is>
      </c>
      <c r="E3" s="14" t="inlineStr">
        <is>
          <t>Result</t>
        </is>
      </c>
      <c r="F3" s="14" t="inlineStr">
        <is>
          <t>If no: what would make it a yes?</t>
        </is>
      </c>
      <c r="G3" s="14" t="inlineStr">
        <is>
          <t>Date</t>
        </is>
      </c>
    </row>
    <row r="4">
      <c r="A4" s="15" t="n">
        <v>1</v>
      </c>
      <c r="B4" s="15" t="n"/>
      <c r="C4" s="15" t="n"/>
      <c r="D4" s="16" t="n"/>
      <c r="E4" s="15" t="n"/>
      <c r="F4" s="17" t="n"/>
      <c r="G4" s="27" t="n"/>
    </row>
    <row r="5">
      <c r="A5" s="15" t="n">
        <v>2</v>
      </c>
      <c r="B5" s="15" t="n"/>
      <c r="C5" s="15" t="n"/>
      <c r="D5" s="16" t="n"/>
      <c r="E5" s="15" t="n"/>
      <c r="F5" s="17" t="n"/>
      <c r="G5" s="27" t="n"/>
    </row>
    <row r="6">
      <c r="A6" s="15" t="n">
        <v>3</v>
      </c>
      <c r="B6" s="15" t="n"/>
      <c r="C6" s="15" t="n"/>
      <c r="D6" s="16" t="n"/>
      <c r="E6" s="15" t="n"/>
      <c r="F6" s="17" t="n"/>
      <c r="G6" s="27" t="n"/>
    </row>
    <row r="7">
      <c r="A7" s="15" t="n">
        <v>4</v>
      </c>
      <c r="B7" s="15" t="n"/>
      <c r="C7" s="15" t="n"/>
      <c r="D7" s="16" t="n"/>
      <c r="E7" s="15" t="n"/>
      <c r="F7" s="17" t="n"/>
      <c r="G7" s="27" t="n"/>
    </row>
    <row r="8">
      <c r="A8" s="15" t="n">
        <v>5</v>
      </c>
      <c r="B8" s="15" t="n"/>
      <c r="C8" s="15" t="n"/>
      <c r="D8" s="16" t="n"/>
      <c r="E8" s="15" t="n"/>
      <c r="F8" s="17" t="n"/>
      <c r="G8" s="27" t="n"/>
    </row>
    <row r="9">
      <c r="A9" s="15" t="n">
        <v>6</v>
      </c>
      <c r="B9" s="15" t="n"/>
      <c r="C9" s="15" t="n"/>
      <c r="D9" s="16" t="n"/>
      <c r="E9" s="15" t="n"/>
      <c r="F9" s="17" t="n"/>
      <c r="G9" s="27" t="n"/>
    </row>
    <row r="10">
      <c r="A10" s="15" t="n">
        <v>7</v>
      </c>
      <c r="B10" s="15" t="n"/>
      <c r="C10" s="15" t="n"/>
      <c r="D10" s="16" t="n"/>
      <c r="E10" s="15" t="n"/>
      <c r="F10" s="17" t="n"/>
      <c r="G10" s="27" t="n"/>
    </row>
    <row r="11">
      <c r="A11" s="15" t="n">
        <v>8</v>
      </c>
      <c r="B11" s="15" t="n"/>
      <c r="C11" s="15" t="n"/>
      <c r="D11" s="16" t="n"/>
      <c r="E11" s="15" t="n"/>
      <c r="F11" s="17" t="n"/>
      <c r="G11" s="27" t="n"/>
    </row>
    <row r="12">
      <c r="A12" s="15" t="n">
        <v>9</v>
      </c>
      <c r="B12" s="15" t="n"/>
      <c r="C12" s="15" t="n"/>
      <c r="D12" s="16" t="n"/>
      <c r="E12" s="15" t="n"/>
      <c r="F12" s="17" t="n"/>
      <c r="G12" s="27" t="n"/>
    </row>
    <row r="13">
      <c r="A13" s="15" t="n">
        <v>10</v>
      </c>
      <c r="B13" s="15" t="n"/>
      <c r="C13" s="15" t="n"/>
      <c r="D13" s="16" t="n"/>
      <c r="E13" s="15" t="n"/>
      <c r="F13" s="17" t="n"/>
      <c r="G13" s="27" t="n"/>
    </row>
  </sheetData>
  <autoFilter ref="A3:G13"/>
  <conditionalFormatting sqref="E4:E13">
    <cfRule type="expression" priority="1" dxfId="0" stopIfTrue="0">
      <formula>$E4="Yes and paid"</formula>
    </cfRule>
    <cfRule type="expression" priority="2" dxfId="1" stopIfTrue="0">
      <formula>$E4="No"</formula>
    </cfRule>
  </conditionalFormatting>
  <dataValidations count="2">
    <dataValidation sqref="C4:C13" showDropDown="0" showInputMessage="0" showErrorMessage="0" allowBlank="1" type="list">
      <formula1>"Yes,No"</formula1>
    </dataValidation>
    <dataValidation sqref="E4:E13" showDropDown="0" showInputMessage="0" showErrorMessage="0" allowBlank="1" type="list">
      <formula1>"Yes and paid,Let me think,No"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2" t="inlineStr">
        <is>
          <t>What the test says</t>
        </is>
      </c>
    </row>
    <row r="2">
      <c r="A2" s="13" t="inlineStr">
        <is>
          <t>Five answers beat fifty opinions.</t>
        </is>
      </c>
    </row>
    <row r="4">
      <c r="A4" s="1" t="inlineStr">
        <is>
          <t>YOUR FIVE BUYERS</t>
        </is>
      </c>
    </row>
    <row r="5">
      <c r="A5" s="18" t="inlineStr">
        <is>
          <t>Offers made</t>
        </is>
      </c>
      <c r="B5" s="28">
        <f>COUNTA('Price test'!$E$4:$E$13)</f>
        <v/>
      </c>
    </row>
    <row r="6">
      <c r="A6" s="18" t="inlineStr">
        <is>
          <t>Yes and paid</t>
        </is>
      </c>
      <c r="B6" s="28">
        <f>COUNTIF('Price test'!$E$4:$E$13,"Yes and paid")</f>
        <v/>
      </c>
    </row>
    <row r="7">
      <c r="A7" s="18" t="inlineStr">
        <is>
          <t>Let me think</t>
        </is>
      </c>
      <c r="B7" s="28">
        <f>COUNTIF('Price test'!$E$4:$E$13,"Let me think")</f>
        <v/>
      </c>
    </row>
    <row r="8">
      <c r="A8" s="18" t="inlineStr">
        <is>
          <t>No</t>
        </is>
      </c>
      <c r="B8" s="28">
        <f>COUNTIF('Price test'!$E$4:$E$13,"No")</f>
        <v/>
      </c>
    </row>
    <row r="9" ht="44" customHeight="1">
      <c r="A9" s="23" t="inlineStr">
        <is>
          <t>What to do next</t>
        </is>
      </c>
      <c r="B9" s="26">
        <f>IF($B$5&lt;5,"Keep going until five real buyers have heard the price.",IF($B$6=$B$5,"Everyone said yes fast. You are probably too cheap. Raise it for the next five.",IF($B$6=0,"Nobody said yes. Check the offer and the customer before you drop the price.","Some yes, some no. Fix what the no answers point to, then test five more.")))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Pricing Lab</dc:title>
  <dcterms:created xmlns:dcterms="http://purl.org/dc/terms/" xmlns:xsi="http://www.w3.org/2001/XMLSchema-instance" xsi:type="dcterms:W3CDTF">2026-10-16T10:26:21Z</dcterms:created>
  <dcterms:modified xmlns:dcterms="http://purl.org/dc/terms/" xmlns:xsi="http://www.w3.org/2001/XMLSchema-instance" xsi:type="dcterms:W3CDTF">2026-10-16T10:26:21Z</dcterms:modified>
</cp:coreProperties>
</file>